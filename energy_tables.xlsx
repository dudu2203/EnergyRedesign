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8"/>
  <workbookPr/>
  <mc:AlternateContent xmlns:mc="http://schemas.openxmlformats.org/markup-compatibility/2006">
    <mc:Choice Requires="x15">
      <x15ac:absPath xmlns:x15ac="http://schemas.microsoft.com/office/spreadsheetml/2010/11/ac" url="/Users/duduklinhendler/Desktop/"/>
    </mc:Choice>
  </mc:AlternateContent>
  <xr:revisionPtr revIDLastSave="0" documentId="8_{2E25AEAF-2B65-A24C-8E44-AD7E6DD2CAB1}" xr6:coauthVersionLast="47" xr6:coauthVersionMax="47" xr10:uidLastSave="{00000000-0000-0000-0000-000000000000}"/>
  <bookViews>
    <workbookView xWindow="0" yWindow="660" windowWidth="29400" windowHeight="18460" activeTab="3" xr2:uid="{00000000-000D-0000-FFFF-FFFF00000000}"/>
  </bookViews>
  <sheets>
    <sheet name="רישום לחללים שונים" sheetId="14" r:id="rId1"/>
    <sheet name="חשמל" sheetId="1" r:id="rId2"/>
    <sheet name="גז" sheetId="3" r:id="rId3"/>
    <sheet name="דלקים" sheetId="2" r:id="rId4"/>
    <sheet name="מדחסי אוויר" sheetId="13" r:id="rId5"/>
    <sheet name="מנועים" sheetId="7" r:id="rId6"/>
    <sheet name="משאבות" sheetId="8" r:id="rId7"/>
    <sheet name="צ'ילרים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4" l="1"/>
  <c r="N12" i="14"/>
  <c r="L10" i="14"/>
  <c r="H6" i="13" l="1"/>
  <c r="D7" i="13" s="1"/>
  <c r="I5" i="13"/>
  <c r="I4" i="13"/>
  <c r="I6" i="13" s="1"/>
  <c r="D8" i="13" s="1"/>
  <c r="D9" i="13" s="1"/>
  <c r="D10" i="13" s="1"/>
  <c r="I6" i="9"/>
  <c r="D7" i="9" s="1"/>
  <c r="J5" i="9"/>
  <c r="J4" i="9"/>
  <c r="F6" i="8"/>
  <c r="D7" i="8" s="1"/>
  <c r="G5" i="8"/>
  <c r="I5" i="8" s="1"/>
  <c r="G4" i="8"/>
  <c r="I4" i="8" s="1"/>
  <c r="F6" i="7"/>
  <c r="D7" i="7" s="1"/>
  <c r="G5" i="7"/>
  <c r="G4" i="7"/>
  <c r="J6" i="9" l="1"/>
  <c r="D8" i="9" s="1"/>
  <c r="D9" i="9" s="1"/>
  <c r="D10" i="9" s="1"/>
  <c r="G6" i="8"/>
  <c r="D8" i="8" s="1"/>
  <c r="D9" i="8" s="1"/>
  <c r="D10" i="8" s="1"/>
  <c r="G6" i="7"/>
  <c r="D8" i="7" s="1"/>
  <c r="D9" i="7" s="1"/>
  <c r="D10" i="7" s="1"/>
  <c r="D70" i="2"/>
  <c r="C70" i="2"/>
  <c r="D53" i="2"/>
  <c r="C53" i="2"/>
  <c r="D36" i="2"/>
  <c r="C36" i="2"/>
  <c r="D19" i="2"/>
  <c r="I7" i="2" s="1"/>
  <c r="C19" i="2"/>
  <c r="H7" i="2" s="1"/>
  <c r="D68" i="3"/>
  <c r="C68" i="3"/>
  <c r="D51" i="3"/>
  <c r="C51" i="3"/>
  <c r="D34" i="3"/>
  <c r="C34" i="3"/>
  <c r="D17" i="3"/>
  <c r="H5" i="3" s="1"/>
  <c r="C17" i="3"/>
  <c r="G5" i="3" s="1"/>
  <c r="H68" i="1"/>
  <c r="G68" i="1"/>
  <c r="F68" i="1"/>
  <c r="E68" i="1"/>
  <c r="D68" i="1"/>
  <c r="C68" i="1"/>
  <c r="H51" i="1"/>
  <c r="G51" i="1"/>
  <c r="F51" i="1"/>
  <c r="E51" i="1"/>
  <c r="D51" i="1"/>
  <c r="C51" i="1"/>
  <c r="H34" i="1"/>
  <c r="G34" i="1"/>
  <c r="F34" i="1"/>
  <c r="E34" i="1"/>
  <c r="D34" i="1"/>
  <c r="C34" i="1"/>
  <c r="F17" i="1"/>
  <c r="E17" i="1"/>
  <c r="D17" i="1"/>
  <c r="C17" i="1"/>
  <c r="H17" i="1"/>
  <c r="G17" i="1"/>
</calcChain>
</file>

<file path=xl/sharedStrings.xml><?xml version="1.0" encoding="utf-8"?>
<sst xmlns="http://schemas.openxmlformats.org/spreadsheetml/2006/main" count="512" uniqueCount="165">
  <si>
    <t>תע"ז</t>
  </si>
  <si>
    <t>פסגה</t>
  </si>
  <si>
    <t>שפל</t>
  </si>
  <si>
    <t xml:space="preserve">סה"כ  </t>
  </si>
  <si>
    <t>צריכה בKW</t>
  </si>
  <si>
    <t>צריכה בש"ח</t>
  </si>
  <si>
    <t>סה"כ KW</t>
  </si>
  <si>
    <t>סה"כ ₪</t>
  </si>
  <si>
    <t>סה"כ</t>
  </si>
  <si>
    <t>חודש</t>
  </si>
  <si>
    <t>כמות בטון</t>
  </si>
  <si>
    <t>ינואר</t>
  </si>
  <si>
    <t>פברואר</t>
  </si>
  <si>
    <t>מרץ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</si>
  <si>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</si>
  <si>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</si>
  <si>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</si>
  <si>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</si>
  <si>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</si>
  <si>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</si>
  <si>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</si>
  <si>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</si>
  <si>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>דצמבר</t>
  </si>
  <si>
    <t>עלות</t>
  </si>
  <si>
    <t>שינוי באחוזים</t>
  </si>
  <si>
    <t>שנה1</t>
  </si>
  <si>
    <t>שנה 2</t>
  </si>
  <si>
    <t>שנה 3</t>
  </si>
  <si>
    <t>שנה 4</t>
  </si>
  <si>
    <t>שנה 1</t>
  </si>
  <si>
    <t>חורף</t>
  </si>
  <si>
    <t>אביב</t>
  </si>
  <si>
    <t>קיץ</t>
  </si>
  <si>
    <t>סתיו</t>
  </si>
  <si>
    <t xml:space="preserve">ספטמבר </t>
  </si>
  <si>
    <t>התפלגות לפי עונות</t>
  </si>
  <si>
    <t>התפלגות צריכה לפי שנים</t>
  </si>
  <si>
    <t>סולר/ מזוט/ בנזין/ נפט/ מתאן</t>
  </si>
  <si>
    <t>להוסיף אפשרות של מספר דלקים שלכל אחד אני יוכל לפתוח כזו טבלה עם גרפים</t>
  </si>
  <si>
    <t>מס'</t>
  </si>
  <si>
    <t>מיקום</t>
  </si>
  <si>
    <t>סוג תאורה</t>
  </si>
  <si>
    <t>להחלפה</t>
  </si>
  <si>
    <t>LED</t>
  </si>
  <si>
    <t>T5</t>
  </si>
  <si>
    <t>חדר ישיבות</t>
  </si>
  <si>
    <t>PL</t>
  </si>
  <si>
    <t>צריכה יומית</t>
  </si>
  <si>
    <t>צריכה שנתית</t>
  </si>
  <si>
    <t>עלות שנתית</t>
  </si>
  <si>
    <t>מחיר ממוצע לKW</t>
  </si>
  <si>
    <t>סוג מזגן</t>
  </si>
  <si>
    <t>הספק KW</t>
  </si>
  <si>
    <t>כמות</t>
  </si>
  <si>
    <t>מפוצל</t>
  </si>
  <si>
    <t>מרכזי</t>
  </si>
  <si>
    <t>מאוורר</t>
  </si>
  <si>
    <t>מיזוג</t>
  </si>
  <si>
    <t>מחיר ממוצע לקילוואט</t>
  </si>
  <si>
    <t>נלקח מטבלאות חשמל</t>
  </si>
  <si>
    <t>T8</t>
  </si>
  <si>
    <t>CFL</t>
  </si>
  <si>
    <t>WATT</t>
  </si>
  <si>
    <t>כמות גופים</t>
  </si>
  <si>
    <t>מלל חופשי</t>
  </si>
  <si>
    <t>נורות</t>
  </si>
  <si>
    <t>רק מלל חופשי</t>
  </si>
  <si>
    <t>שעות עבודה</t>
  </si>
  <si>
    <t>כן</t>
  </si>
  <si>
    <t>לא</t>
  </si>
  <si>
    <t>כרגע בטבלה</t>
  </si>
  <si>
    <t>סה"כ כללי</t>
  </si>
  <si>
    <t>ימי עבודה</t>
  </si>
  <si>
    <t>Drop-down list</t>
  </si>
  <si>
    <t>משרד 1</t>
  </si>
  <si>
    <t>סה"כ צריכה KW</t>
  </si>
  <si>
    <t>מיני מרכזי</t>
  </si>
  <si>
    <t>VRF</t>
  </si>
  <si>
    <t>ימי עבודה בשנה</t>
  </si>
  <si>
    <t>שעות עבודה ביום</t>
  </si>
  <si>
    <t xml:space="preserve">להחלפה - יוחלט בשטח </t>
  </si>
  <si>
    <t>סוג מנוע</t>
  </si>
  <si>
    <t>משאבה</t>
  </si>
  <si>
    <t>מסוע</t>
  </si>
  <si>
    <t>מערבל</t>
  </si>
  <si>
    <t>מפוח</t>
  </si>
  <si>
    <t>יט"א</t>
  </si>
  <si>
    <t>סה"כ מנועים</t>
  </si>
  <si>
    <t>מנוע תהליכי</t>
  </si>
  <si>
    <t>בדיקת נצילות</t>
  </si>
  <si>
    <t xml:space="preserve">בדיקת נצילות - </t>
  </si>
  <si>
    <t>במידה ויוצא בבדיקה מעל 150,000 קוו"ט אז ירשם כן או יצבע בירוק, במידה מתחת אז לא או אדום</t>
  </si>
  <si>
    <t>KW</t>
  </si>
  <si>
    <t>סוג צ'ילר</t>
  </si>
  <si>
    <t>סוג משאבה</t>
  </si>
  <si>
    <t>משאבה מים</t>
  </si>
  <si>
    <t>משאבה שמן</t>
  </si>
  <si>
    <t>חברה</t>
  </si>
  <si>
    <t>בורגי</t>
  </si>
  <si>
    <t>מגנטי</t>
  </si>
  <si>
    <t>בוכנתי</t>
  </si>
  <si>
    <t>TRANE</t>
  </si>
  <si>
    <t>CLIMA VENTA</t>
  </si>
  <si>
    <t>YORK</t>
  </si>
  <si>
    <t>שנת ייצור</t>
  </si>
  <si>
    <t>טון קירור</t>
  </si>
  <si>
    <t>ברגע שבחרתי בטון קירור זה ימלא אוטומטי את המקביל בהספק חשמלי</t>
  </si>
  <si>
    <t>הספק חשמלי  (kW​)</t>
  </si>
  <si>
    <t>סוג מדחס</t>
  </si>
  <si>
    <t>לחץ עבודה</t>
  </si>
  <si>
    <t>ולבסוף יוציא טבלה מסודרת כמה מדחסים להחלפה יש מכל סוג ובאילו הספקים</t>
  </si>
  <si>
    <t>קייזר</t>
  </si>
  <si>
    <t>אינגרסול</t>
  </si>
  <si>
    <t>מכשירים נילווים</t>
  </si>
  <si>
    <t>סוג מכשיר</t>
  </si>
  <si>
    <t>מקרר</t>
  </si>
  <si>
    <t>מיני מקרר</t>
  </si>
  <si>
    <t>תמי 4</t>
  </si>
  <si>
    <t>מיחם</t>
  </si>
  <si>
    <t>קומקום</t>
  </si>
  <si>
    <t>מיקרוגל</t>
  </si>
  <si>
    <t>דוד חימום</t>
  </si>
  <si>
    <t>תנור</t>
  </si>
  <si>
    <t>תנור חימום</t>
  </si>
  <si>
    <t>אופצית הוספה</t>
  </si>
  <si>
    <t>+</t>
  </si>
  <si>
    <t>סוג חלל</t>
  </si>
  <si>
    <t>במידה וישנם חללים זהים הוא יכפיל אותם בטבלה הסופית המרכזת</t>
  </si>
  <si>
    <t>שם חדר</t>
  </si>
  <si>
    <t>כמות חדרים זהים</t>
  </si>
  <si>
    <t>תמונה</t>
  </si>
  <si>
    <t>הערה מלולית על תמונה</t>
  </si>
  <si>
    <t xml:space="preserve">תאורה </t>
  </si>
  <si>
    <t>כמות נורות</t>
  </si>
  <si>
    <t>כן/לא</t>
  </si>
  <si>
    <t>כמות מחשבים</t>
  </si>
  <si>
    <t xml:space="preserve"> כ"ס</t>
  </si>
  <si>
    <t>BTU</t>
  </si>
  <si>
    <t xml:space="preserve">KW הספק  </t>
  </si>
  <si>
    <t>מכניסים את זה</t>
  </si>
  <si>
    <t>נכנס אוטומטית מהטבלה</t>
  </si>
  <si>
    <t>טבלאות Drop-down list</t>
  </si>
  <si>
    <t>כמות מזגנים</t>
  </si>
  <si>
    <t>כוח סוס (כ"ס / HP)</t>
  </si>
  <si>
    <t>הספק חשמלי - מזגן מפוצל (Watts)</t>
  </si>
  <si>
    <t>משרד</t>
  </si>
  <si>
    <t>1.0 כ"ס</t>
  </si>
  <si>
    <t>כיתה</t>
  </si>
  <si>
    <t>1.5 כ"ס</t>
  </si>
  <si>
    <t>מחסן</t>
  </si>
  <si>
    <t>2.0 כ"ס</t>
  </si>
  <si>
    <t>2.5 כ"ס</t>
  </si>
  <si>
    <t>שירותים</t>
  </si>
  <si>
    <t>3.0 כ"ס</t>
  </si>
  <si>
    <t>מטבחון</t>
  </si>
  <si>
    <t>4.0 כ"ס</t>
  </si>
  <si>
    <t>5.0 כ"ס</t>
  </si>
  <si>
    <t>סוג המזגן</t>
  </si>
  <si>
    <t>אם הנורה t5 או t8 אז התשובה אוטומטית כן</t>
  </si>
  <si>
    <t>תפוקת קירור (BTU) נרשם אוטומטית ברגע שבוחרים כס מזגן</t>
  </si>
  <si>
    <t>חלון בחירה לכמות</t>
  </si>
  <si>
    <t xml:space="preserve">סה"כ </t>
  </si>
  <si>
    <t>לחצן בחירה והוספה</t>
  </si>
  <si>
    <t>להחלפה -כן אם הוא מעל 10 שנים</t>
  </si>
  <si>
    <t xml:space="preserve">במידה ורשום בהספק מעל  100 טון קירור אז ירשם כן או לא במידה ולא צריך בדיקה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</si>
</sst>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₪&quot;\ * #,##0.00_ ;_ &quot;₪&quot;\ * \-#,##0.00_ ;_ &quot;₪&quot;\ * &quot;-&quot;??_ ;_ @_ "/>
    <numFmt numFmtId="165" formatCode="_ &quot;₪&quot;\ * #,##0_ ;_ &quot;₪&quot;\ * \-#,##0_ ;_ &quot;₪&quot;\ * &quot;-&quot;??_ ;_ @_ "/>
  </numFmts>
  <fonts count="3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8"/>
      <color theme="1"/>
      <name val="Times New Roman"/>
      <family val="1"/>
      <scheme val="major"/>
    </font>
    <font>
      <sz val="8"/>
      <color theme="1"/>
      <name val="Times New Roman"/>
      <family val="1"/>
      <scheme val="major"/>
    </font>
    <font>
      <sz val="10"/>
      <color theme="1"/>
      <name val="Times New Roman"/>
      <family val="1"/>
      <scheme val="major"/>
    </font>
    <font>
      <b/>
      <sz val="10"/>
      <color theme="1"/>
      <name val="Times New Roman"/>
      <family val="1"/>
      <scheme val="major"/>
    </font>
    <font>
      <sz val="11"/>
      <color theme="1"/>
      <name val="Times New Roman"/>
      <family val="1"/>
      <scheme val="major"/>
    </font>
    <font>
      <b/>
      <sz val="11"/>
      <color theme="1"/>
      <name val="Times New Roman"/>
      <family val="1"/>
      <scheme val="major"/>
    </font>
    <font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11"/>
      <color theme="1"/>
      <name val="Arial"/>
      <family val="2"/>
      <scheme val="minor"/>
    </font>
    <font>
      <b/>
      <sz val="10"/>
      <color rgb="FF0A0A0A"/>
      <name val="Arial"/>
      <family val="2"/>
      <scheme val="minor"/>
    </font>
    <font>
      <b/>
      <sz val="10"/>
      <color rgb="FFFF0000"/>
      <name val="Times New Roman"/>
      <family val="1"/>
    </font>
    <font>
      <sz val="9"/>
      <color rgb="FF00B050"/>
      <name val="Times New Roman"/>
      <family val="1"/>
    </font>
    <font>
      <sz val="9"/>
      <color rgb="FFFF0000"/>
      <name val="Times New Roman"/>
      <family val="1"/>
    </font>
    <font>
      <sz val="11"/>
      <color rgb="FF1F1F1F"/>
      <name val="Arial"/>
      <family val="2"/>
      <scheme val="minor"/>
    </font>
    <font>
      <b/>
      <sz val="11"/>
      <color rgb="FF1F1F1F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0"/>
      <color rgb="FF000000"/>
      <name val="Times New Roman"/>
      <family val="1"/>
      <scheme val="major"/>
    </font>
    <font>
      <b/>
      <sz val="11"/>
      <color rgb="FF1F1F1F"/>
      <name val="Times New Roman"/>
      <family val="1"/>
      <scheme val="major"/>
    </font>
    <font>
      <sz val="14"/>
      <color rgb="FF000000"/>
      <name val="Arial"/>
      <family val="2"/>
    </font>
    <font>
      <b/>
      <u/>
      <sz val="14"/>
      <color rgb="FF000000"/>
      <name val="Arial"/>
      <family val="2"/>
    </font>
    <font>
      <sz val="11"/>
      <color rgb="FF00B0F0"/>
      <name val="Arial"/>
      <family val="2"/>
      <charset val="177"/>
      <scheme val="minor"/>
    </font>
    <font>
      <b/>
      <sz val="11"/>
      <color rgb="FF7030A0"/>
      <name val="Arial"/>
      <family val="2"/>
      <scheme val="minor"/>
    </font>
    <font>
      <sz val="11"/>
      <color theme="1"/>
      <name val="Times New Roman"/>
      <family val="1"/>
    </font>
    <font>
      <b/>
      <sz val="10"/>
      <color rgb="FF1F1F1F"/>
      <name val="Arial"/>
      <family val="2"/>
      <scheme val="minor"/>
    </font>
    <font>
      <sz val="11"/>
      <color theme="9"/>
      <name val="Arial"/>
      <family val="2"/>
      <charset val="177"/>
      <scheme val="minor"/>
    </font>
    <font>
      <sz val="10"/>
      <color rgb="FFFF0000"/>
      <name val="Times New Roman"/>
      <family val="1"/>
    </font>
    <font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C4D79B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47">
    <xf numFmtId="0" fontId="0" fillId="0" borderId="0" xfId="0"/>
    <xf numFmtId="0" fontId="3" fillId="0" borderId="1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3" fontId="4" fillId="0" borderId="8" xfId="2" applyNumberFormat="1" applyFont="1" applyBorder="1" applyAlignment="1">
      <alignment wrapText="1"/>
    </xf>
    <xf numFmtId="165" fontId="4" fillId="0" borderId="8" xfId="1" applyNumberFormat="1" applyFont="1" applyBorder="1" applyAlignment="1">
      <alignment wrapText="1"/>
    </xf>
    <xf numFmtId="3" fontId="4" fillId="0" borderId="8" xfId="0" applyNumberFormat="1" applyFont="1" applyBorder="1" applyAlignment="1">
      <alignment wrapText="1"/>
    </xf>
    <xf numFmtId="0" fontId="3" fillId="0" borderId="9" xfId="0" applyFont="1" applyBorder="1"/>
    <xf numFmtId="0" fontId="3" fillId="0" borderId="10" xfId="0" applyFont="1" applyBorder="1"/>
    <xf numFmtId="3" fontId="3" fillId="0" borderId="11" xfId="0" applyNumberFormat="1" applyFont="1" applyBorder="1" applyAlignment="1">
      <alignment wrapText="1"/>
    </xf>
    <xf numFmtId="0" fontId="5" fillId="0" borderId="6" xfId="0" applyFont="1" applyBorder="1"/>
    <xf numFmtId="0" fontId="5" fillId="2" borderId="6" xfId="0" applyFont="1" applyFill="1" applyBorder="1"/>
    <xf numFmtId="0" fontId="6" fillId="2" borderId="6" xfId="0" applyFont="1" applyFill="1" applyBorder="1"/>
    <xf numFmtId="0" fontId="6" fillId="0" borderId="6" xfId="0" applyFont="1" applyBorder="1"/>
    <xf numFmtId="0" fontId="5" fillId="0" borderId="0" xfId="0" applyFont="1"/>
    <xf numFmtId="0" fontId="6" fillId="0" borderId="0" xfId="0" applyFont="1"/>
    <xf numFmtId="0" fontId="7" fillId="0" borderId="6" xfId="0" applyFont="1" applyBorder="1"/>
    <xf numFmtId="3" fontId="7" fillId="0" borderId="6" xfId="0" applyNumberFormat="1" applyFont="1" applyBorder="1"/>
    <xf numFmtId="0" fontId="0" fillId="0" borderId="6" xfId="0" applyBorder="1"/>
    <xf numFmtId="0" fontId="7" fillId="0" borderId="16" xfId="0" applyFont="1" applyBorder="1"/>
    <xf numFmtId="0" fontId="7" fillId="0" borderId="7" xfId="0" applyFont="1" applyBorder="1"/>
    <xf numFmtId="0" fontId="7" fillId="0" borderId="19" xfId="0" applyFont="1" applyBorder="1"/>
    <xf numFmtId="0" fontId="8" fillId="0" borderId="0" xfId="0" applyFont="1"/>
    <xf numFmtId="0" fontId="5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right" vertical="center" readingOrder="2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0" fillId="3" borderId="25" xfId="0" applyFont="1" applyFill="1" applyBorder="1" applyAlignment="1">
      <alignment horizontal="right" vertical="center" readingOrder="2"/>
    </xf>
    <xf numFmtId="0" fontId="10" fillId="3" borderId="26" xfId="0" applyFont="1" applyFill="1" applyBorder="1" applyAlignment="1">
      <alignment horizontal="right" vertical="center" readingOrder="2"/>
    </xf>
    <xf numFmtId="0" fontId="9" fillId="3" borderId="27" xfId="0" applyFont="1" applyFill="1" applyBorder="1" applyAlignment="1">
      <alignment vertical="center"/>
    </xf>
    <xf numFmtId="0" fontId="9" fillId="3" borderId="27" xfId="0" applyFont="1" applyFill="1" applyBorder="1" applyAlignment="1">
      <alignment horizontal="right" vertical="center"/>
    </xf>
    <xf numFmtId="0" fontId="9" fillId="3" borderId="26" xfId="0" applyFont="1" applyFill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 readingOrder="2"/>
    </xf>
    <xf numFmtId="0" fontId="9" fillId="3" borderId="30" xfId="0" applyFont="1" applyFill="1" applyBorder="1" applyAlignment="1">
      <alignment horizontal="center" vertical="center" readingOrder="2"/>
    </xf>
    <xf numFmtId="0" fontId="9" fillId="3" borderId="33" xfId="0" applyFont="1" applyFill="1" applyBorder="1" applyAlignment="1">
      <alignment horizontal="center" vertical="center"/>
    </xf>
    <xf numFmtId="0" fontId="10" fillId="3" borderId="31" xfId="0" applyFont="1" applyFill="1" applyBorder="1" applyAlignment="1">
      <alignment horizontal="right" vertical="center" readingOrder="2"/>
    </xf>
    <xf numFmtId="0" fontId="12" fillId="3" borderId="26" xfId="0" applyFont="1" applyFill="1" applyBorder="1" applyAlignment="1">
      <alignment vertical="center"/>
    </xf>
    <xf numFmtId="0" fontId="0" fillId="0" borderId="37" xfId="0" applyBorder="1"/>
    <xf numFmtId="0" fontId="0" fillId="0" borderId="38" xfId="0" applyBorder="1" applyAlignment="1">
      <alignment horizontal="right"/>
    </xf>
    <xf numFmtId="0" fontId="0" fillId="0" borderId="39" xfId="0" applyBorder="1"/>
    <xf numFmtId="0" fontId="0" fillId="0" borderId="38" xfId="0" applyBorder="1"/>
    <xf numFmtId="0" fontId="0" fillId="0" borderId="41" xfId="0" applyBorder="1"/>
    <xf numFmtId="0" fontId="0" fillId="0" borderId="42" xfId="0" applyBorder="1"/>
    <xf numFmtId="0" fontId="0" fillId="0" borderId="41" xfId="0" applyBorder="1" applyAlignment="1">
      <alignment horizontal="right"/>
    </xf>
    <xf numFmtId="0" fontId="13" fillId="0" borderId="34" xfId="0" applyFont="1" applyBorder="1" applyAlignment="1">
      <alignment horizontal="right"/>
    </xf>
    <xf numFmtId="0" fontId="13" fillId="0" borderId="37" xfId="0" applyFont="1" applyBorder="1" applyAlignment="1">
      <alignment horizontal="right"/>
    </xf>
    <xf numFmtId="0" fontId="13" fillId="0" borderId="37" xfId="0" applyFont="1" applyBorder="1"/>
    <xf numFmtId="0" fontId="13" fillId="0" borderId="43" xfId="0" applyFont="1" applyBorder="1"/>
    <xf numFmtId="0" fontId="10" fillId="0" borderId="37" xfId="0" applyFont="1" applyBorder="1" applyAlignment="1">
      <alignment horizontal="right" vertical="center" readingOrder="2"/>
    </xf>
    <xf numFmtId="0" fontId="9" fillId="3" borderId="29" xfId="0" applyFont="1" applyFill="1" applyBorder="1" applyAlignment="1">
      <alignment horizontal="right" vertical="center"/>
    </xf>
    <xf numFmtId="0" fontId="10" fillId="0" borderId="34" xfId="0" applyFont="1" applyBorder="1" applyAlignment="1">
      <alignment horizontal="right" vertical="center" readingOrder="2"/>
    </xf>
    <xf numFmtId="0" fontId="0" fillId="0" borderId="40" xfId="0" applyBorder="1"/>
    <xf numFmtId="0" fontId="11" fillId="3" borderId="35" xfId="0" applyFont="1" applyFill="1" applyBorder="1" applyAlignment="1">
      <alignment horizontal="right" vertical="center"/>
    </xf>
    <xf numFmtId="0" fontId="11" fillId="3" borderId="28" xfId="0" applyFont="1" applyFill="1" applyBorder="1" applyAlignment="1">
      <alignment horizontal="right" vertical="center"/>
    </xf>
    <xf numFmtId="0" fontId="11" fillId="3" borderId="44" xfId="0" applyFont="1" applyFill="1" applyBorder="1" applyAlignment="1">
      <alignment horizontal="right" vertical="center"/>
    </xf>
    <xf numFmtId="0" fontId="11" fillId="4" borderId="45" xfId="0" applyFont="1" applyFill="1" applyBorder="1" applyAlignment="1">
      <alignment horizontal="right" vertical="center" readingOrder="2"/>
    </xf>
    <xf numFmtId="0" fontId="14" fillId="0" borderId="0" xfId="0" applyFont="1"/>
    <xf numFmtId="0" fontId="15" fillId="0" borderId="0" xfId="0" applyFont="1" applyAlignment="1">
      <alignment horizontal="right" vertical="center" readingOrder="2"/>
    </xf>
    <xf numFmtId="0" fontId="12" fillId="3" borderId="29" xfId="0" applyFont="1" applyFill="1" applyBorder="1" applyAlignment="1">
      <alignment vertical="center"/>
    </xf>
    <xf numFmtId="0" fontId="11" fillId="4" borderId="20" xfId="0" applyFont="1" applyFill="1" applyBorder="1" applyAlignment="1">
      <alignment horizontal="right" vertical="center" readingOrder="2"/>
    </xf>
    <xf numFmtId="0" fontId="11" fillId="4" borderId="20" xfId="0" applyFont="1" applyFill="1" applyBorder="1" applyAlignment="1">
      <alignment horizontal="right" vertical="center"/>
    </xf>
    <xf numFmtId="0" fontId="11" fillId="4" borderId="38" xfId="0" applyFont="1" applyFill="1" applyBorder="1" applyAlignment="1">
      <alignment horizontal="right" vertical="center"/>
    </xf>
    <xf numFmtId="0" fontId="11" fillId="4" borderId="45" xfId="0" applyFont="1" applyFill="1" applyBorder="1" applyAlignment="1">
      <alignment horizontal="right" vertical="center"/>
    </xf>
    <xf numFmtId="0" fontId="11" fillId="4" borderId="37" xfId="0" applyFont="1" applyFill="1" applyBorder="1" applyAlignment="1">
      <alignment horizontal="right" vertical="center"/>
    </xf>
    <xf numFmtId="0" fontId="11" fillId="4" borderId="37" xfId="0" applyFont="1" applyFill="1" applyBorder="1" applyAlignment="1">
      <alignment horizontal="right" vertical="center" readingOrder="2"/>
    </xf>
    <xf numFmtId="0" fontId="11" fillId="3" borderId="37" xfId="0" applyFont="1" applyFill="1" applyBorder="1" applyAlignment="1">
      <alignment horizontal="right" vertical="center"/>
    </xf>
    <xf numFmtId="0" fontId="9" fillId="3" borderId="26" xfId="0" applyFont="1" applyFill="1" applyBorder="1" applyAlignment="1">
      <alignment vertical="center" readingOrder="2"/>
    </xf>
    <xf numFmtId="0" fontId="9" fillId="3" borderId="30" xfId="0" applyFont="1" applyFill="1" applyBorder="1" applyAlignment="1">
      <alignment vertical="center" readingOrder="2"/>
    </xf>
    <xf numFmtId="0" fontId="10" fillId="3" borderId="32" xfId="0" applyFont="1" applyFill="1" applyBorder="1" applyAlignment="1">
      <alignment horizontal="right" vertical="center" readingOrder="2"/>
    </xf>
    <xf numFmtId="0" fontId="9" fillId="3" borderId="37" xfId="0" applyFont="1" applyFill="1" applyBorder="1" applyAlignment="1">
      <alignment horizontal="right" vertical="center"/>
    </xf>
    <xf numFmtId="0" fontId="16" fillId="3" borderId="29" xfId="0" applyFont="1" applyFill="1" applyBorder="1" applyAlignment="1">
      <alignment vertical="center"/>
    </xf>
    <xf numFmtId="0" fontId="17" fillId="3" borderId="33" xfId="0" applyFont="1" applyFill="1" applyBorder="1" applyAlignment="1">
      <alignment vertical="center"/>
    </xf>
    <xf numFmtId="0" fontId="9" fillId="3" borderId="28" xfId="0" applyFont="1" applyFill="1" applyBorder="1" applyAlignment="1">
      <alignment horizontal="right" vertical="center"/>
    </xf>
    <xf numFmtId="0" fontId="19" fillId="0" borderId="25" xfId="0" applyFont="1" applyBorder="1" applyAlignment="1">
      <alignment vertical="center" wrapText="1" readingOrder="2"/>
    </xf>
    <xf numFmtId="0" fontId="18" fillId="0" borderId="25" xfId="0" applyFont="1" applyBorder="1" applyAlignment="1">
      <alignment vertical="center" wrapText="1" readingOrder="2"/>
    </xf>
    <xf numFmtId="0" fontId="20" fillId="0" borderId="0" xfId="0" applyFont="1"/>
    <xf numFmtId="0" fontId="16" fillId="3" borderId="33" xfId="0" applyFont="1" applyFill="1" applyBorder="1" applyAlignment="1">
      <alignment vertical="center"/>
    </xf>
    <xf numFmtId="0" fontId="21" fillId="0" borderId="37" xfId="0" applyFont="1" applyBorder="1" applyAlignment="1">
      <alignment horizontal="center" vertical="center" readingOrder="2"/>
    </xf>
    <xf numFmtId="0" fontId="22" fillId="0" borderId="25" xfId="0" applyFont="1" applyBorder="1" applyAlignment="1">
      <alignment horizontal="center" vertical="center" wrapText="1" readingOrder="2"/>
    </xf>
    <xf numFmtId="0" fontId="8" fillId="0" borderId="34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19" fillId="0" borderId="36" xfId="0" applyFont="1" applyBorder="1" applyAlignment="1">
      <alignment vertical="center" wrapText="1" readingOrder="2"/>
    </xf>
    <xf numFmtId="0" fontId="0" fillId="0" borderId="43" xfId="0" applyBorder="1"/>
    <xf numFmtId="0" fontId="22" fillId="0" borderId="26" xfId="0" applyFont="1" applyBorder="1" applyAlignment="1">
      <alignment horizontal="center" vertical="center" wrapText="1" readingOrder="2"/>
    </xf>
    <xf numFmtId="0" fontId="19" fillId="0" borderId="26" xfId="0" applyFont="1" applyBorder="1" applyAlignment="1">
      <alignment vertical="center" wrapText="1" readingOrder="2"/>
    </xf>
    <xf numFmtId="0" fontId="8" fillId="0" borderId="40" xfId="0" applyFont="1" applyBorder="1"/>
    <xf numFmtId="0" fontId="21" fillId="0" borderId="34" xfId="0" applyFont="1" applyBorder="1" applyAlignment="1">
      <alignment horizontal="center" vertical="center" readingOrder="2"/>
    </xf>
    <xf numFmtId="0" fontId="0" fillId="0" borderId="22" xfId="0" applyBorder="1" applyAlignment="1">
      <alignment horizontal="right"/>
    </xf>
    <xf numFmtId="0" fontId="0" fillId="0" borderId="42" xfId="0" applyBorder="1" applyAlignment="1">
      <alignment horizontal="right"/>
    </xf>
    <xf numFmtId="0" fontId="10" fillId="0" borderId="45" xfId="0" applyFont="1" applyBorder="1" applyAlignment="1">
      <alignment horizontal="right" vertical="center" readingOrder="2"/>
    </xf>
    <xf numFmtId="0" fontId="0" fillId="0" borderId="37" xfId="0" applyBorder="1" applyAlignment="1">
      <alignment horizontal="right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9" fillId="3" borderId="46" xfId="0" applyFont="1" applyFill="1" applyBorder="1" applyAlignment="1">
      <alignment horizontal="center" vertical="center"/>
    </xf>
    <xf numFmtId="0" fontId="9" fillId="3" borderId="47" xfId="0" applyFont="1" applyFill="1" applyBorder="1" applyAlignment="1">
      <alignment horizontal="center" vertical="center"/>
    </xf>
    <xf numFmtId="0" fontId="9" fillId="3" borderId="26" xfId="0" applyFont="1" applyFill="1" applyBorder="1" applyAlignment="1">
      <alignment horizontal="right" vertical="center" readingOrder="2"/>
    </xf>
    <xf numFmtId="0" fontId="9" fillId="3" borderId="30" xfId="0" applyFont="1" applyFill="1" applyBorder="1" applyAlignment="1">
      <alignment horizontal="right" vertical="center" readingOrder="2"/>
    </xf>
    <xf numFmtId="0" fontId="9" fillId="3" borderId="0" xfId="0" applyFont="1" applyFill="1" applyAlignment="1">
      <alignment horizontal="center" vertical="center"/>
    </xf>
    <xf numFmtId="0" fontId="9" fillId="3" borderId="29" xfId="0" applyFont="1" applyFill="1" applyBorder="1" applyAlignment="1">
      <alignment horizontal="center" vertical="center"/>
    </xf>
    <xf numFmtId="0" fontId="9" fillId="3" borderId="28" xfId="0" applyFont="1" applyFill="1" applyBorder="1" applyAlignment="1">
      <alignment horizontal="center" vertical="center"/>
    </xf>
    <xf numFmtId="0" fontId="9" fillId="3" borderId="27" xfId="0" applyFont="1" applyFill="1" applyBorder="1" applyAlignment="1">
      <alignment horizontal="center" vertical="center"/>
    </xf>
    <xf numFmtId="0" fontId="23" fillId="0" borderId="0" xfId="0" applyFont="1" applyAlignment="1">
      <alignment horizontal="right" vertical="center" readingOrder="2"/>
    </xf>
    <xf numFmtId="0" fontId="24" fillId="0" borderId="0" xfId="0" applyFont="1" applyAlignment="1">
      <alignment horizontal="right" vertical="center" readingOrder="2"/>
    </xf>
    <xf numFmtId="0" fontId="13" fillId="0" borderId="10" xfId="0" applyFont="1" applyBorder="1"/>
    <xf numFmtId="0" fontId="2" fillId="0" borderId="48" xfId="0" applyFont="1" applyBorder="1"/>
    <xf numFmtId="0" fontId="0" fillId="0" borderId="48" xfId="0" applyBorder="1"/>
    <xf numFmtId="0" fontId="2" fillId="0" borderId="49" xfId="0" applyFont="1" applyBorder="1"/>
    <xf numFmtId="0" fontId="0" fillId="0" borderId="14" xfId="0" applyBorder="1"/>
    <xf numFmtId="0" fontId="0" fillId="0" borderId="50" xfId="0" applyBorder="1"/>
    <xf numFmtId="0" fontId="0" fillId="0" borderId="51" xfId="0" applyBorder="1"/>
    <xf numFmtId="0" fontId="0" fillId="0" borderId="45" xfId="0" applyBorder="1"/>
    <xf numFmtId="0" fontId="13" fillId="0" borderId="48" xfId="0" applyFont="1" applyBorder="1"/>
    <xf numFmtId="0" fontId="13" fillId="0" borderId="50" xfId="0" applyFont="1" applyBorder="1"/>
    <xf numFmtId="0" fontId="2" fillId="0" borderId="48" xfId="0" applyFont="1" applyBorder="1" applyAlignment="1">
      <alignment horizontal="right"/>
    </xf>
    <xf numFmtId="0" fontId="0" fillId="0" borderId="49" xfId="0" applyBorder="1"/>
    <xf numFmtId="0" fontId="0" fillId="0" borderId="34" xfId="0" applyBorder="1"/>
    <xf numFmtId="0" fontId="2" fillId="0" borderId="50" xfId="0" applyFont="1" applyBorder="1"/>
    <xf numFmtId="0" fontId="25" fillId="0" borderId="48" xfId="0" applyFont="1" applyBorder="1"/>
    <xf numFmtId="0" fontId="0" fillId="0" borderId="48" xfId="0" applyBorder="1" applyAlignment="1">
      <alignment horizontal="right"/>
    </xf>
    <xf numFmtId="0" fontId="26" fillId="0" borderId="0" xfId="0" applyFont="1"/>
    <xf numFmtId="0" fontId="27" fillId="0" borderId="0" xfId="0" applyFont="1"/>
    <xf numFmtId="0" fontId="0" fillId="0" borderId="52" xfId="0" applyBorder="1"/>
    <xf numFmtId="0" fontId="28" fillId="0" borderId="53" xfId="0" applyFont="1" applyBorder="1" applyAlignment="1">
      <alignment vertical="center" wrapText="1" readingOrder="2"/>
    </xf>
    <xf numFmtId="0" fontId="28" fillId="0" borderId="54" xfId="0" applyFont="1" applyBorder="1" applyAlignment="1">
      <alignment vertical="center" wrapText="1" readingOrder="2"/>
    </xf>
    <xf numFmtId="0" fontId="19" fillId="0" borderId="55" xfId="0" applyFont="1" applyBorder="1" applyAlignment="1">
      <alignment vertical="center" wrapText="1" readingOrder="2"/>
    </xf>
    <xf numFmtId="0" fontId="19" fillId="0" borderId="56" xfId="0" applyFont="1" applyBorder="1" applyAlignment="1">
      <alignment vertical="center" wrapText="1" readingOrder="2"/>
    </xf>
    <xf numFmtId="0" fontId="18" fillId="0" borderId="56" xfId="0" applyFont="1" applyBorder="1" applyAlignment="1">
      <alignment vertical="center" wrapText="1" readingOrder="2"/>
    </xf>
    <xf numFmtId="0" fontId="19" fillId="0" borderId="57" xfId="0" applyFont="1" applyBorder="1" applyAlignment="1">
      <alignment vertical="center" wrapText="1" readingOrder="2"/>
    </xf>
    <xf numFmtId="0" fontId="29" fillId="0" borderId="48" xfId="0" applyFont="1" applyBorder="1"/>
    <xf numFmtId="0" fontId="0" fillId="0" borderId="0" xfId="0" applyFill="1" applyBorder="1"/>
    <xf numFmtId="0" fontId="30" fillId="4" borderId="20" xfId="0" applyFont="1" applyFill="1" applyBorder="1" applyAlignment="1">
      <alignment horizontal="right" vertical="center" readingOrder="2"/>
    </xf>
    <xf numFmtId="0" fontId="30" fillId="4" borderId="37" xfId="0" applyFont="1" applyFill="1" applyBorder="1" applyAlignment="1">
      <alignment horizontal="right" vertical="center" readingOrder="2"/>
    </xf>
    <xf numFmtId="0" fontId="31" fillId="3" borderId="33" xfId="0" applyFont="1" applyFill="1" applyBorder="1" applyAlignment="1">
      <alignment horizontal="center" vertical="center"/>
    </xf>
    <xf numFmtId="0" fontId="30" fillId="4" borderId="20" xfId="0" applyFont="1" applyFill="1" applyBorder="1" applyAlignment="1">
      <alignment horizontal="right" vertical="center"/>
    </xf>
    <xf numFmtId="0" fontId="30" fillId="4" borderId="37" xfId="0" applyFont="1" applyFill="1" applyBorder="1" applyAlignment="1">
      <alignment horizontal="right" vertical="center"/>
    </xf>
  </cellXfs>
  <cellStyles count="3">
    <cellStyle name="Currency" xfId="1" builtinId="4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464FC-20AD-7D47-8795-6D697CFB301B}">
  <dimension ref="A2:P29"/>
  <sheetViews>
    <sheetView rightToLeft="1" topLeftCell="A2" workbookViewId="0">
      <selection activeCell="D40" sqref="D40"/>
    </sheetView>
  </sheetViews>
  <sheetFormatPr baseColWidth="10" defaultColWidth="8.83203125" defaultRowHeight="14" x14ac:dyDescent="0.15"/>
  <cols>
    <col min="2" max="2" width="12.6640625" customWidth="1"/>
    <col min="3" max="3" width="14.83203125" customWidth="1"/>
    <col min="4" max="4" width="14.1640625" bestFit="1" customWidth="1"/>
    <col min="5" max="5" width="13.1640625" bestFit="1" customWidth="1"/>
    <col min="6" max="6" width="11.5" customWidth="1"/>
    <col min="9" max="9" width="11.6640625" customWidth="1"/>
    <col min="10" max="10" width="12.1640625" customWidth="1"/>
    <col min="11" max="11" width="11.83203125" bestFit="1" customWidth="1"/>
    <col min="12" max="12" width="13.83203125" customWidth="1"/>
    <col min="13" max="13" width="11.1640625" bestFit="1" customWidth="1"/>
    <col min="14" max="14" width="12.33203125" bestFit="1" customWidth="1"/>
    <col min="16" max="16" width="10.83203125" bestFit="1" customWidth="1"/>
  </cols>
  <sheetData>
    <row r="2" spans="1:16" ht="19" thickBot="1" x14ac:dyDescent="0.2">
      <c r="C2" s="113"/>
    </row>
    <row r="3" spans="1:16" ht="15" thickBot="1" x14ac:dyDescent="0.2">
      <c r="B3" s="51" t="s">
        <v>124</v>
      </c>
    </row>
    <row r="4" spans="1:16" ht="18" x14ac:dyDescent="0.15">
      <c r="A4" t="s">
        <v>125</v>
      </c>
      <c r="B4" s="114" t="s">
        <v>126</v>
      </c>
    </row>
    <row r="5" spans="1:16" ht="15" thickBot="1" x14ac:dyDescent="0.2">
      <c r="F5" s="25" t="s">
        <v>127</v>
      </c>
    </row>
    <row r="6" spans="1:16" ht="15" thickBot="1" x14ac:dyDescent="0.2">
      <c r="B6" s="115" t="s">
        <v>128</v>
      </c>
      <c r="C6" s="116" t="s">
        <v>74</v>
      </c>
      <c r="D6" s="117" t="s">
        <v>129</v>
      </c>
      <c r="E6" s="118">
        <v>6</v>
      </c>
      <c r="F6" s="119"/>
      <c r="G6" s="19"/>
      <c r="H6" s="19"/>
      <c r="I6" s="19"/>
    </row>
    <row r="7" spans="1:16" ht="15" thickBot="1" x14ac:dyDescent="0.2">
      <c r="B7" s="120"/>
      <c r="C7" s="120"/>
      <c r="D7" s="120"/>
      <c r="E7" s="120"/>
      <c r="F7" s="121"/>
      <c r="G7" s="121"/>
      <c r="H7" s="121"/>
      <c r="I7" s="19"/>
    </row>
    <row r="8" spans="1:16" ht="15" thickBot="1" x14ac:dyDescent="0.2">
      <c r="A8" t="s">
        <v>125</v>
      </c>
      <c r="B8" s="115" t="s">
        <v>130</v>
      </c>
      <c r="C8" s="117" t="s">
        <v>131</v>
      </c>
      <c r="D8" s="122"/>
      <c r="E8" s="117"/>
      <c r="F8" s="123" t="s">
        <v>130</v>
      </c>
      <c r="G8" s="117" t="s">
        <v>131</v>
      </c>
      <c r="H8" s="87"/>
      <c r="I8" s="119"/>
    </row>
    <row r="9" spans="1:16" ht="15" thickBot="1" x14ac:dyDescent="0.2">
      <c r="B9" s="124"/>
      <c r="C9" s="120"/>
      <c r="D9" s="120"/>
      <c r="E9" s="120"/>
      <c r="F9" s="120"/>
      <c r="G9" s="120"/>
      <c r="H9" s="120"/>
      <c r="I9" s="121"/>
      <c r="J9" s="121"/>
      <c r="K9" s="121"/>
      <c r="L9" s="121"/>
    </row>
    <row r="10" spans="1:16" ht="15" thickBot="1" x14ac:dyDescent="0.2">
      <c r="A10" t="s">
        <v>125</v>
      </c>
      <c r="B10" s="115" t="s">
        <v>132</v>
      </c>
      <c r="C10" s="117" t="s">
        <v>41</v>
      </c>
      <c r="D10" s="125" t="s">
        <v>60</v>
      </c>
      <c r="E10" s="117" t="s">
        <v>63</v>
      </c>
      <c r="F10" s="140"/>
      <c r="G10" s="117" t="s">
        <v>133</v>
      </c>
      <c r="H10" s="116">
        <v>2</v>
      </c>
      <c r="I10" s="117" t="s">
        <v>62</v>
      </c>
      <c r="J10" s="116">
        <v>36</v>
      </c>
      <c r="K10" s="117" t="s">
        <v>75</v>
      </c>
      <c r="L10" s="126">
        <f>J10*H10*F10/1000</f>
        <v>0</v>
      </c>
      <c r="M10" s="122" t="s">
        <v>42</v>
      </c>
      <c r="N10" s="87" t="s">
        <v>134</v>
      </c>
      <c r="O10" s="141" t="s">
        <v>158</v>
      </c>
    </row>
    <row r="11" spans="1:16" ht="15" thickBot="1" x14ac:dyDescent="0.2">
      <c r="B11" s="124"/>
      <c r="C11" s="120"/>
      <c r="D11" s="120"/>
      <c r="E11" s="120"/>
      <c r="F11" s="128"/>
      <c r="G11" s="120"/>
      <c r="H11" s="128"/>
      <c r="I11" s="120"/>
      <c r="J11" s="120"/>
      <c r="K11" s="120"/>
      <c r="L11" s="120"/>
      <c r="M11" s="121"/>
      <c r="N11" s="121"/>
    </row>
    <row r="12" spans="1:16" ht="15" thickBot="1" x14ac:dyDescent="0.2">
      <c r="A12" t="s">
        <v>125</v>
      </c>
      <c r="B12" s="115" t="s">
        <v>57</v>
      </c>
      <c r="C12" s="117" t="s">
        <v>157</v>
      </c>
      <c r="D12" s="116" t="s">
        <v>54</v>
      </c>
      <c r="E12" s="117" t="s">
        <v>53</v>
      </c>
      <c r="F12" s="116"/>
      <c r="G12" s="117" t="s">
        <v>136</v>
      </c>
      <c r="H12" s="116">
        <v>1.5</v>
      </c>
      <c r="I12" s="117" t="s">
        <v>137</v>
      </c>
      <c r="J12" s="116">
        <v>13000</v>
      </c>
      <c r="K12" s="130" t="s">
        <v>138</v>
      </c>
      <c r="L12" s="129">
        <v>1.1000000000000001</v>
      </c>
      <c r="M12" s="117" t="s">
        <v>75</v>
      </c>
      <c r="N12" s="117">
        <f>L12*F12</f>
        <v>0</v>
      </c>
      <c r="O12" s="122" t="s">
        <v>42</v>
      </c>
      <c r="P12" s="87" t="s">
        <v>134</v>
      </c>
    </row>
    <row r="13" spans="1:16" ht="15" thickBot="1" x14ac:dyDescent="0.2">
      <c r="B13" s="127" t="s">
        <v>135</v>
      </c>
      <c r="C13" s="87"/>
      <c r="I13" s="131" t="s">
        <v>139</v>
      </c>
      <c r="J13" s="131"/>
      <c r="K13" s="131" t="s">
        <v>140</v>
      </c>
      <c r="L13" s="131"/>
      <c r="M13" s="131" t="s">
        <v>140</v>
      </c>
    </row>
    <row r="14" spans="1:16" ht="15" thickBot="1" x14ac:dyDescent="0.2">
      <c r="E14" s="132"/>
      <c r="I14" s="131"/>
      <c r="J14" s="131"/>
      <c r="K14" s="131"/>
      <c r="L14" s="131"/>
      <c r="M14" s="131"/>
    </row>
    <row r="15" spans="1:16" ht="15" thickBot="1" x14ac:dyDescent="0.2">
      <c r="A15" t="s">
        <v>125</v>
      </c>
      <c r="B15" s="51" t="s">
        <v>113</v>
      </c>
      <c r="C15" s="133" t="s">
        <v>114</v>
      </c>
      <c r="D15" s="125" t="s">
        <v>115</v>
      </c>
      <c r="E15" s="117" t="s">
        <v>53</v>
      </c>
      <c r="F15" s="116"/>
      <c r="G15" s="117" t="s">
        <v>62</v>
      </c>
      <c r="H15" s="116">
        <v>0.75</v>
      </c>
      <c r="I15" s="117" t="s">
        <v>75</v>
      </c>
      <c r="J15" s="126">
        <f>F15*H15</f>
        <v>0</v>
      </c>
    </row>
    <row r="16" spans="1:16" x14ac:dyDescent="0.15">
      <c r="I16" s="131"/>
      <c r="J16" s="131"/>
      <c r="K16" s="131"/>
      <c r="L16" s="131"/>
      <c r="M16" s="131"/>
    </row>
    <row r="17" spans="3:16" ht="15" thickBot="1" x14ac:dyDescent="0.2">
      <c r="I17" s="131"/>
      <c r="J17" s="131"/>
      <c r="K17" s="131"/>
      <c r="L17" s="131"/>
      <c r="M17" s="131"/>
    </row>
    <row r="18" spans="3:16" ht="15" thickBot="1" x14ac:dyDescent="0.2">
      <c r="C18" s="127" t="s">
        <v>141</v>
      </c>
      <c r="D18" s="87"/>
    </row>
    <row r="19" spans="3:16" ht="57" thickBot="1" x14ac:dyDescent="0.2">
      <c r="C19" s="51" t="s">
        <v>126</v>
      </c>
      <c r="D19" s="49" t="s">
        <v>41</v>
      </c>
      <c r="E19" s="50" t="s">
        <v>62</v>
      </c>
      <c r="F19" s="51" t="s">
        <v>63</v>
      </c>
      <c r="G19" s="52" t="s">
        <v>65</v>
      </c>
      <c r="H19" s="53" t="s">
        <v>42</v>
      </c>
      <c r="I19" s="49" t="s">
        <v>51</v>
      </c>
      <c r="J19" s="42" t="s">
        <v>142</v>
      </c>
      <c r="K19" s="134" t="s">
        <v>143</v>
      </c>
      <c r="L19" s="134" t="s">
        <v>159</v>
      </c>
      <c r="M19" s="135" t="s">
        <v>144</v>
      </c>
      <c r="N19" s="53" t="s">
        <v>42</v>
      </c>
      <c r="O19" s="50" t="s">
        <v>114</v>
      </c>
      <c r="P19" s="53" t="s">
        <v>4</v>
      </c>
    </row>
    <row r="20" spans="3:16" ht="16" thickBot="1" x14ac:dyDescent="0.2">
      <c r="C20" s="46" t="s">
        <v>145</v>
      </c>
      <c r="D20" s="43" t="s">
        <v>43</v>
      </c>
      <c r="E20" s="48">
        <v>10</v>
      </c>
      <c r="F20" s="46" t="s">
        <v>66</v>
      </c>
      <c r="G20" s="44">
        <v>1</v>
      </c>
      <c r="H20" s="46" t="s">
        <v>68</v>
      </c>
      <c r="I20" s="43" t="s">
        <v>54</v>
      </c>
      <c r="J20" s="46" t="s">
        <v>66</v>
      </c>
      <c r="K20" s="78" t="s">
        <v>146</v>
      </c>
      <c r="L20" s="79">
        <v>9500</v>
      </c>
      <c r="M20" s="136">
        <v>0.75</v>
      </c>
      <c r="N20" s="46" t="s">
        <v>68</v>
      </c>
      <c r="O20" s="48" t="s">
        <v>115</v>
      </c>
      <c r="P20" s="46">
        <v>0.75</v>
      </c>
    </row>
    <row r="21" spans="3:16" ht="16" thickBot="1" x14ac:dyDescent="0.2">
      <c r="C21" s="46" t="s">
        <v>147</v>
      </c>
      <c r="D21" s="43" t="s">
        <v>60</v>
      </c>
      <c r="E21" s="48">
        <v>14</v>
      </c>
      <c r="F21" s="46"/>
      <c r="G21" s="44">
        <v>2</v>
      </c>
      <c r="H21" s="46" t="s">
        <v>69</v>
      </c>
      <c r="I21" s="43" t="s">
        <v>76</v>
      </c>
      <c r="J21" s="46"/>
      <c r="K21" s="78" t="s">
        <v>148</v>
      </c>
      <c r="L21" s="79">
        <v>13000</v>
      </c>
      <c r="M21" s="136">
        <v>1.1000000000000001</v>
      </c>
      <c r="N21" s="46" t="s">
        <v>69</v>
      </c>
      <c r="O21" s="48" t="s">
        <v>116</v>
      </c>
      <c r="P21" s="46">
        <v>0.3</v>
      </c>
    </row>
    <row r="22" spans="3:16" ht="16" thickBot="1" x14ac:dyDescent="0.2">
      <c r="C22" s="46" t="s">
        <v>149</v>
      </c>
      <c r="D22" s="43" t="s">
        <v>44</v>
      </c>
      <c r="E22" s="48">
        <v>18</v>
      </c>
      <c r="F22" s="46"/>
      <c r="G22" s="44">
        <v>3</v>
      </c>
      <c r="H22" s="46"/>
      <c r="I22" s="43" t="s">
        <v>55</v>
      </c>
      <c r="J22" s="46"/>
      <c r="K22" s="78" t="s">
        <v>150</v>
      </c>
      <c r="L22" s="79">
        <v>19000</v>
      </c>
      <c r="M22" s="136">
        <v>1.55</v>
      </c>
      <c r="N22" s="46"/>
      <c r="O22" s="48" t="s">
        <v>117</v>
      </c>
      <c r="P22" s="46">
        <v>0.2</v>
      </c>
    </row>
    <row r="23" spans="3:16" ht="16" thickBot="1" x14ac:dyDescent="0.2">
      <c r="C23" s="46" t="s">
        <v>45</v>
      </c>
      <c r="D23" s="43" t="s">
        <v>46</v>
      </c>
      <c r="E23" s="48">
        <v>28</v>
      </c>
      <c r="F23" s="46"/>
      <c r="G23" s="44">
        <v>4</v>
      </c>
      <c r="H23" s="46"/>
      <c r="I23" s="43" t="s">
        <v>77</v>
      </c>
      <c r="J23" s="46"/>
      <c r="K23" s="78" t="s">
        <v>151</v>
      </c>
      <c r="L23" s="79">
        <v>23500</v>
      </c>
      <c r="M23" s="136">
        <v>2</v>
      </c>
      <c r="N23" s="46"/>
      <c r="O23" s="48" t="s">
        <v>118</v>
      </c>
      <c r="P23" s="46">
        <v>0.2</v>
      </c>
    </row>
    <row r="24" spans="3:16" ht="16" thickBot="1" x14ac:dyDescent="0.2">
      <c r="C24" s="46" t="s">
        <v>152</v>
      </c>
      <c r="D24" s="43" t="s">
        <v>61</v>
      </c>
      <c r="E24" s="48">
        <v>36</v>
      </c>
      <c r="F24" s="46"/>
      <c r="G24" s="44"/>
      <c r="H24" s="46"/>
      <c r="I24" s="43" t="s">
        <v>56</v>
      </c>
      <c r="J24" s="46"/>
      <c r="K24" s="78" t="s">
        <v>153</v>
      </c>
      <c r="L24" s="79">
        <v>29000</v>
      </c>
      <c r="M24" s="136">
        <v>2.5</v>
      </c>
      <c r="N24" s="46"/>
      <c r="O24" s="48" t="s">
        <v>119</v>
      </c>
      <c r="P24" s="46">
        <v>0.2</v>
      </c>
    </row>
    <row r="25" spans="3:16" ht="16" thickBot="1" x14ac:dyDescent="0.2">
      <c r="C25" s="46" t="s">
        <v>154</v>
      </c>
      <c r="D25" s="43"/>
      <c r="E25" s="48">
        <v>45</v>
      </c>
      <c r="F25" s="46"/>
      <c r="G25" s="44"/>
      <c r="H25" s="46"/>
      <c r="I25" s="43" t="s">
        <v>86</v>
      </c>
      <c r="J25" s="46"/>
      <c r="K25" s="78" t="s">
        <v>155</v>
      </c>
      <c r="L25" s="79">
        <v>37500</v>
      </c>
      <c r="M25" s="136">
        <v>3.6</v>
      </c>
      <c r="N25" s="46"/>
      <c r="O25" s="46" t="s">
        <v>120</v>
      </c>
      <c r="P25" s="46">
        <v>0.1</v>
      </c>
    </row>
    <row r="26" spans="3:16" ht="16" thickBot="1" x14ac:dyDescent="0.2">
      <c r="C26" s="47" t="s">
        <v>64</v>
      </c>
      <c r="D26" s="92"/>
      <c r="E26" s="47" t="s">
        <v>64</v>
      </c>
      <c r="F26" s="47"/>
      <c r="G26" s="31"/>
      <c r="H26" s="47"/>
      <c r="I26" s="92" t="s">
        <v>64</v>
      </c>
      <c r="J26" s="47"/>
      <c r="K26" s="137" t="s">
        <v>156</v>
      </c>
      <c r="L26" s="138">
        <v>47500</v>
      </c>
      <c r="M26" s="139">
        <v>4.7</v>
      </c>
      <c r="N26" s="47"/>
      <c r="O26" s="48" t="s">
        <v>121</v>
      </c>
      <c r="P26" s="46">
        <v>0.5</v>
      </c>
    </row>
    <row r="27" spans="3:16" x14ac:dyDescent="0.15">
      <c r="O27" s="48" t="s">
        <v>122</v>
      </c>
      <c r="P27" s="46">
        <v>0.3</v>
      </c>
    </row>
    <row r="28" spans="3:16" ht="15" thickBot="1" x14ac:dyDescent="0.2">
      <c r="O28" s="93" t="s">
        <v>123</v>
      </c>
      <c r="P28" s="47">
        <v>0.5</v>
      </c>
    </row>
    <row r="29" spans="3:16" ht="15" thickBot="1" x14ac:dyDescent="0.2">
      <c r="O29" s="95" t="s">
        <v>64</v>
      </c>
      <c r="P29" s="87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104"/>
  <sheetViews>
    <sheetView rightToLeft="1" topLeftCell="A77" workbookViewId="0">
      <selection activeCell="B108" sqref="B108"/>
    </sheetView>
  </sheetViews>
  <sheetFormatPr baseColWidth="10" defaultColWidth="8.83203125" defaultRowHeight="14" x14ac:dyDescent="0.15"/>
  <sheetData>
    <row r="2" spans="2:8" ht="15" thickBot="1" x14ac:dyDescent="0.2">
      <c r="B2" t="s">
        <v>29</v>
      </c>
    </row>
    <row r="3" spans="2:8" x14ac:dyDescent="0.15">
      <c r="B3" s="1" t="s">
        <v>0</v>
      </c>
      <c r="C3" s="102" t="s">
        <v>1</v>
      </c>
      <c r="D3" s="102"/>
      <c r="E3" s="102" t="s">
        <v>2</v>
      </c>
      <c r="F3" s="102"/>
      <c r="G3" s="103" t="s">
        <v>3</v>
      </c>
      <c r="H3" s="104"/>
    </row>
    <row r="4" spans="2:8" x14ac:dyDescent="0.15">
      <c r="B4" s="2" t="s">
        <v>9</v>
      </c>
      <c r="C4" s="3" t="s">
        <v>4</v>
      </c>
      <c r="D4" s="3" t="s">
        <v>5</v>
      </c>
      <c r="E4" s="3" t="s">
        <v>4</v>
      </c>
      <c r="F4" s="3" t="s">
        <v>5</v>
      </c>
      <c r="G4" s="3" t="s">
        <v>6</v>
      </c>
      <c r="H4" s="4" t="s">
        <v>7</v>
      </c>
    </row>
    <row r="5" spans="2:8" x14ac:dyDescent="0.15">
      <c r="B5" s="2">
        <v>1</v>
      </c>
      <c r="C5" s="5"/>
      <c r="D5" s="6"/>
      <c r="E5" s="5"/>
      <c r="F5" s="6"/>
      <c r="G5" s="7"/>
      <c r="H5" s="7"/>
    </row>
    <row r="6" spans="2:8" x14ac:dyDescent="0.15">
      <c r="B6" s="2">
        <v>2</v>
      </c>
      <c r="C6" s="5"/>
      <c r="D6" s="6"/>
      <c r="E6" s="5"/>
      <c r="F6" s="6"/>
      <c r="G6" s="7"/>
      <c r="H6" s="7"/>
    </row>
    <row r="7" spans="2:8" x14ac:dyDescent="0.15">
      <c r="B7" s="2">
        <v>3</v>
      </c>
      <c r="C7" s="5"/>
      <c r="D7" s="6"/>
      <c r="E7" s="5"/>
      <c r="F7" s="6"/>
      <c r="G7" s="7"/>
      <c r="H7" s="7"/>
    </row>
    <row r="8" spans="2:8" x14ac:dyDescent="0.15">
      <c r="B8" s="2">
        <v>4</v>
      </c>
      <c r="C8" s="5"/>
      <c r="D8" s="6"/>
      <c r="E8" s="5"/>
      <c r="F8" s="6"/>
      <c r="G8" s="7"/>
      <c r="H8" s="7"/>
    </row>
    <row r="9" spans="2:8" x14ac:dyDescent="0.15">
      <c r="B9" s="2">
        <v>5</v>
      </c>
      <c r="C9" s="5"/>
      <c r="D9" s="6"/>
      <c r="E9" s="5"/>
      <c r="F9" s="6"/>
      <c r="G9" s="7"/>
      <c r="H9" s="7"/>
    </row>
    <row r="10" spans="2:8" x14ac:dyDescent="0.15">
      <c r="B10" s="2">
        <v>6</v>
      </c>
      <c r="C10" s="5"/>
      <c r="D10" s="6"/>
      <c r="E10" s="5"/>
      <c r="F10" s="6"/>
      <c r="G10" s="7"/>
      <c r="H10" s="7"/>
    </row>
    <row r="11" spans="2:8" x14ac:dyDescent="0.15">
      <c r="B11" s="2">
        <v>7</v>
      </c>
      <c r="C11" s="5"/>
      <c r="D11" s="6"/>
      <c r="E11" s="5"/>
      <c r="F11" s="6"/>
      <c r="G11" s="7"/>
      <c r="H11" s="7"/>
    </row>
    <row r="12" spans="2:8" x14ac:dyDescent="0.15">
      <c r="B12" s="2">
        <v>8</v>
      </c>
      <c r="C12" s="5"/>
      <c r="D12" s="6"/>
      <c r="E12" s="5"/>
      <c r="F12" s="6"/>
      <c r="G12" s="7"/>
      <c r="H12" s="7"/>
    </row>
    <row r="13" spans="2:8" x14ac:dyDescent="0.15">
      <c r="B13" s="2">
        <v>9</v>
      </c>
      <c r="C13" s="5"/>
      <c r="D13" s="6"/>
      <c r="E13" s="5"/>
      <c r="F13" s="6"/>
      <c r="G13" s="7"/>
      <c r="H13" s="7"/>
    </row>
    <row r="14" spans="2:8" x14ac:dyDescent="0.15">
      <c r="B14" s="2">
        <v>10</v>
      </c>
      <c r="C14" s="5"/>
      <c r="D14" s="6"/>
      <c r="E14" s="5"/>
      <c r="F14" s="6"/>
      <c r="G14" s="7"/>
      <c r="H14" s="7"/>
    </row>
    <row r="15" spans="2:8" x14ac:dyDescent="0.15">
      <c r="B15" s="2">
        <v>11</v>
      </c>
      <c r="C15" s="5"/>
      <c r="D15" s="6"/>
      <c r="E15" s="5"/>
      <c r="F15" s="6"/>
      <c r="G15" s="7"/>
      <c r="H15" s="7"/>
    </row>
    <row r="16" spans="2:8" ht="15" thickBot="1" x14ac:dyDescent="0.2">
      <c r="B16" s="8">
        <v>12</v>
      </c>
      <c r="C16" s="5"/>
      <c r="D16" s="6"/>
      <c r="E16" s="5"/>
      <c r="F16" s="6"/>
      <c r="G16" s="7"/>
      <c r="H16" s="7"/>
    </row>
    <row r="17" spans="2:8" ht="15" thickBot="1" x14ac:dyDescent="0.2">
      <c r="B17" s="9" t="s">
        <v>8</v>
      </c>
      <c r="C17" s="10">
        <f>SUM(C5:C16)</f>
        <v>0</v>
      </c>
      <c r="D17" s="10">
        <f>SUM(D5:D16)</f>
        <v>0</v>
      </c>
      <c r="E17" s="10">
        <f t="shared" ref="E17:H17" si="0">SUM(E5:E16)</f>
        <v>0</v>
      </c>
      <c r="F17" s="10">
        <f t="shared" si="0"/>
        <v>0</v>
      </c>
      <c r="G17" s="10">
        <f t="shared" si="0"/>
        <v>0</v>
      </c>
      <c r="H17" s="10">
        <f t="shared" si="0"/>
        <v>0</v>
      </c>
    </row>
    <row r="19" spans="2:8" ht="15" thickBot="1" x14ac:dyDescent="0.2">
      <c r="B19" t="s">
        <v>26</v>
      </c>
    </row>
    <row r="20" spans="2:8" x14ac:dyDescent="0.15">
      <c r="B20" s="1" t="s">
        <v>0</v>
      </c>
      <c r="C20" s="102" t="s">
        <v>1</v>
      </c>
      <c r="D20" s="102"/>
      <c r="E20" s="102" t="s">
        <v>2</v>
      </c>
      <c r="F20" s="102"/>
      <c r="G20" s="103" t="s">
        <v>3</v>
      </c>
      <c r="H20" s="104"/>
    </row>
    <row r="21" spans="2:8" x14ac:dyDescent="0.15">
      <c r="B21" s="2" t="s">
        <v>9</v>
      </c>
      <c r="C21" s="3" t="s">
        <v>4</v>
      </c>
      <c r="D21" s="3" t="s">
        <v>5</v>
      </c>
      <c r="E21" s="3" t="s">
        <v>4</v>
      </c>
      <c r="F21" s="3" t="s">
        <v>5</v>
      </c>
      <c r="G21" s="3" t="s">
        <v>6</v>
      </c>
      <c r="H21" s="4" t="s">
        <v>7</v>
      </c>
    </row>
    <row r="22" spans="2:8" x14ac:dyDescent="0.15">
      <c r="B22" s="2">
        <v>1</v>
      </c>
      <c r="C22" s="5"/>
      <c r="D22" s="6"/>
      <c r="E22" s="5"/>
      <c r="F22" s="6"/>
      <c r="G22" s="7"/>
      <c r="H22" s="7"/>
    </row>
    <row r="23" spans="2:8" x14ac:dyDescent="0.15">
      <c r="B23" s="2">
        <v>2</v>
      </c>
      <c r="C23" s="5"/>
      <c r="D23" s="6"/>
      <c r="E23" s="5"/>
      <c r="F23" s="6"/>
      <c r="G23" s="7"/>
      <c r="H23" s="7"/>
    </row>
    <row r="24" spans="2:8" x14ac:dyDescent="0.15">
      <c r="B24" s="2">
        <v>3</v>
      </c>
      <c r="C24" s="5"/>
      <c r="D24" s="6"/>
      <c r="E24" s="5"/>
      <c r="F24" s="6"/>
      <c r="G24" s="7"/>
      <c r="H24" s="7"/>
    </row>
    <row r="25" spans="2:8" x14ac:dyDescent="0.15">
      <c r="B25" s="2">
        <v>4</v>
      </c>
      <c r="C25" s="5"/>
      <c r="D25" s="6"/>
      <c r="E25" s="5"/>
      <c r="F25" s="6"/>
      <c r="G25" s="7"/>
      <c r="H25" s="7"/>
    </row>
    <row r="26" spans="2:8" x14ac:dyDescent="0.15">
      <c r="B26" s="2">
        <v>5</v>
      </c>
      <c r="C26" s="5"/>
      <c r="D26" s="6"/>
      <c r="E26" s="5"/>
      <c r="F26" s="6"/>
      <c r="G26" s="7"/>
      <c r="H26" s="7"/>
    </row>
    <row r="27" spans="2:8" x14ac:dyDescent="0.15">
      <c r="B27" s="2">
        <v>6</v>
      </c>
      <c r="C27" s="5"/>
      <c r="D27" s="6"/>
      <c r="E27" s="5"/>
      <c r="F27" s="6"/>
      <c r="G27" s="7"/>
      <c r="H27" s="7"/>
    </row>
    <row r="28" spans="2:8" x14ac:dyDescent="0.15">
      <c r="B28" s="2">
        <v>7</v>
      </c>
      <c r="C28" s="5"/>
      <c r="D28" s="6"/>
      <c r="E28" s="5"/>
      <c r="F28" s="6"/>
      <c r="G28" s="7"/>
      <c r="H28" s="7"/>
    </row>
    <row r="29" spans="2:8" x14ac:dyDescent="0.15">
      <c r="B29" s="2">
        <v>8</v>
      </c>
      <c r="C29" s="5"/>
      <c r="D29" s="6"/>
      <c r="E29" s="5"/>
      <c r="F29" s="6"/>
      <c r="G29" s="7"/>
      <c r="H29" s="7"/>
    </row>
    <row r="30" spans="2:8" x14ac:dyDescent="0.15">
      <c r="B30" s="2">
        <v>9</v>
      </c>
      <c r="C30" s="5"/>
      <c r="D30" s="6"/>
      <c r="E30" s="5"/>
      <c r="F30" s="6"/>
      <c r="G30" s="7"/>
      <c r="H30" s="7"/>
    </row>
    <row r="31" spans="2:8" x14ac:dyDescent="0.15">
      <c r="B31" s="2">
        <v>10</v>
      </c>
      <c r="C31" s="5"/>
      <c r="D31" s="6"/>
      <c r="E31" s="5"/>
      <c r="F31" s="6"/>
      <c r="G31" s="7"/>
      <c r="H31" s="7"/>
    </row>
    <row r="32" spans="2:8" x14ac:dyDescent="0.15">
      <c r="B32" s="2">
        <v>11</v>
      </c>
      <c r="C32" s="5"/>
      <c r="D32" s="6"/>
      <c r="E32" s="5"/>
      <c r="F32" s="6"/>
      <c r="G32" s="7"/>
      <c r="H32" s="7"/>
    </row>
    <row r="33" spans="2:8" ht="15" thickBot="1" x14ac:dyDescent="0.2">
      <c r="B33" s="8">
        <v>12</v>
      </c>
      <c r="C33" s="5"/>
      <c r="D33" s="6"/>
      <c r="E33" s="5"/>
      <c r="F33" s="6"/>
      <c r="G33" s="7"/>
      <c r="H33" s="7"/>
    </row>
    <row r="34" spans="2:8" ht="15" thickBot="1" x14ac:dyDescent="0.2">
      <c r="B34" s="9" t="s">
        <v>8</v>
      </c>
      <c r="C34" s="10">
        <f>SUM(C22:C33)</f>
        <v>0</v>
      </c>
      <c r="D34" s="10">
        <f>SUM(D22:D33)</f>
        <v>0</v>
      </c>
      <c r="E34" s="10">
        <f t="shared" ref="E34:H34" si="1">SUM(E22:E33)</f>
        <v>0</v>
      </c>
      <c r="F34" s="10">
        <f t="shared" si="1"/>
        <v>0</v>
      </c>
      <c r="G34" s="10">
        <f t="shared" si="1"/>
        <v>0</v>
      </c>
      <c r="H34" s="10">
        <f t="shared" si="1"/>
        <v>0</v>
      </c>
    </row>
    <row r="36" spans="2:8" ht="15" thickBot="1" x14ac:dyDescent="0.2">
      <c r="B36" t="s">
        <v>27</v>
      </c>
    </row>
    <row r="37" spans="2:8" x14ac:dyDescent="0.15">
      <c r="B37" s="1" t="s">
        <v>0</v>
      </c>
      <c r="C37" s="102" t="s">
        <v>1</v>
      </c>
      <c r="D37" s="102"/>
      <c r="E37" s="102" t="s">
        <v>2</v>
      </c>
      <c r="F37" s="102"/>
      <c r="G37" s="103" t="s">
        <v>3</v>
      </c>
      <c r="H37" s="104"/>
    </row>
    <row r="38" spans="2:8" x14ac:dyDescent="0.15">
      <c r="B38" s="2" t="s">
        <v>9</v>
      </c>
      <c r="C38" s="3" t="s">
        <v>4</v>
      </c>
      <c r="D38" s="3" t="s">
        <v>5</v>
      </c>
      <c r="E38" s="3" t="s">
        <v>4</v>
      </c>
      <c r="F38" s="3" t="s">
        <v>5</v>
      </c>
      <c r="G38" s="3" t="s">
        <v>6</v>
      </c>
      <c r="H38" s="4" t="s">
        <v>7</v>
      </c>
    </row>
    <row r="39" spans="2:8" x14ac:dyDescent="0.15">
      <c r="B39" s="2">
        <v>1</v>
      </c>
      <c r="C39" s="5"/>
      <c r="D39" s="6"/>
      <c r="E39" s="5"/>
      <c r="F39" s="6"/>
      <c r="G39" s="7"/>
      <c r="H39" s="7"/>
    </row>
    <row r="40" spans="2:8" x14ac:dyDescent="0.15">
      <c r="B40" s="2">
        <v>2</v>
      </c>
      <c r="C40" s="5"/>
      <c r="D40" s="6"/>
      <c r="E40" s="5"/>
      <c r="F40" s="6"/>
      <c r="G40" s="7"/>
      <c r="H40" s="7"/>
    </row>
    <row r="41" spans="2:8" x14ac:dyDescent="0.15">
      <c r="B41" s="2">
        <v>3</v>
      </c>
      <c r="C41" s="5"/>
      <c r="D41" s="6"/>
      <c r="E41" s="5"/>
      <c r="F41" s="6"/>
      <c r="G41" s="7"/>
      <c r="H41" s="7"/>
    </row>
    <row r="42" spans="2:8" x14ac:dyDescent="0.15">
      <c r="B42" s="2">
        <v>4</v>
      </c>
      <c r="C42" s="5"/>
      <c r="D42" s="6"/>
      <c r="E42" s="5"/>
      <c r="F42" s="6"/>
      <c r="G42" s="7"/>
      <c r="H42" s="7"/>
    </row>
    <row r="43" spans="2:8" x14ac:dyDescent="0.15">
      <c r="B43" s="2">
        <v>5</v>
      </c>
      <c r="C43" s="5"/>
      <c r="D43" s="6"/>
      <c r="E43" s="5"/>
      <c r="F43" s="6"/>
      <c r="G43" s="7"/>
      <c r="H43" s="7"/>
    </row>
    <row r="44" spans="2:8" x14ac:dyDescent="0.15">
      <c r="B44" s="2">
        <v>6</v>
      </c>
      <c r="C44" s="5"/>
      <c r="D44" s="6"/>
      <c r="E44" s="5"/>
      <c r="F44" s="6"/>
      <c r="G44" s="7"/>
      <c r="H44" s="7"/>
    </row>
    <row r="45" spans="2:8" x14ac:dyDescent="0.15">
      <c r="B45" s="2">
        <v>7</v>
      </c>
      <c r="C45" s="5"/>
      <c r="D45" s="6"/>
      <c r="E45" s="5"/>
      <c r="F45" s="6"/>
      <c r="G45" s="7"/>
      <c r="H45" s="7"/>
    </row>
    <row r="46" spans="2:8" x14ac:dyDescent="0.15">
      <c r="B46" s="2">
        <v>8</v>
      </c>
      <c r="C46" s="5"/>
      <c r="D46" s="6"/>
      <c r="E46" s="5"/>
      <c r="F46" s="6"/>
      <c r="G46" s="7"/>
      <c r="H46" s="7"/>
    </row>
    <row r="47" spans="2:8" x14ac:dyDescent="0.15">
      <c r="B47" s="2">
        <v>9</v>
      </c>
      <c r="C47" s="5"/>
      <c r="D47" s="6"/>
      <c r="E47" s="5"/>
      <c r="F47" s="6"/>
      <c r="G47" s="7"/>
      <c r="H47" s="7"/>
    </row>
    <row r="48" spans="2:8" x14ac:dyDescent="0.15">
      <c r="B48" s="2">
        <v>10</v>
      </c>
      <c r="C48" s="5"/>
      <c r="D48" s="6"/>
      <c r="E48" s="5"/>
      <c r="F48" s="6"/>
      <c r="G48" s="7"/>
      <c r="H48" s="7"/>
    </row>
    <row r="49" spans="2:8" x14ac:dyDescent="0.15">
      <c r="B49" s="2">
        <v>11</v>
      </c>
      <c r="C49" s="5"/>
      <c r="D49" s="6"/>
      <c r="E49" s="5"/>
      <c r="F49" s="6"/>
      <c r="G49" s="7"/>
      <c r="H49" s="7"/>
    </row>
    <row r="50" spans="2:8" ht="15" thickBot="1" x14ac:dyDescent="0.2">
      <c r="B50" s="8">
        <v>12</v>
      </c>
      <c r="C50" s="5"/>
      <c r="D50" s="6"/>
      <c r="E50" s="5"/>
      <c r="F50" s="6"/>
      <c r="G50" s="7"/>
      <c r="H50" s="7"/>
    </row>
    <row r="51" spans="2:8" ht="15" thickBot="1" x14ac:dyDescent="0.2">
      <c r="B51" s="9" t="s">
        <v>8</v>
      </c>
      <c r="C51" s="10">
        <f>SUM(C39:C50)</f>
        <v>0</v>
      </c>
      <c r="D51" s="10">
        <f>SUM(D39:D50)</f>
        <v>0</v>
      </c>
      <c r="E51" s="10">
        <f t="shared" ref="E51:H51" si="2">SUM(E39:E50)</f>
        <v>0</v>
      </c>
      <c r="F51" s="10">
        <f t="shared" si="2"/>
        <v>0</v>
      </c>
      <c r="G51" s="10">
        <f t="shared" si="2"/>
        <v>0</v>
      </c>
      <c r="H51" s="10">
        <f t="shared" si="2"/>
        <v>0</v>
      </c>
    </row>
    <row r="53" spans="2:8" ht="15" thickBot="1" x14ac:dyDescent="0.2">
      <c r="B53" t="s">
        <v>28</v>
      </c>
    </row>
    <row r="54" spans="2:8" x14ac:dyDescent="0.15">
      <c r="B54" s="1" t="s">
        <v>0</v>
      </c>
      <c r="C54" s="102" t="s">
        <v>1</v>
      </c>
      <c r="D54" s="102"/>
      <c r="E54" s="102" t="s">
        <v>2</v>
      </c>
      <c r="F54" s="102"/>
      <c r="G54" s="103" t="s">
        <v>3</v>
      </c>
      <c r="H54" s="104"/>
    </row>
    <row r="55" spans="2:8" x14ac:dyDescent="0.15">
      <c r="B55" s="2" t="s">
        <v>9</v>
      </c>
      <c r="C55" s="3" t="s">
        <v>4</v>
      </c>
      <c r="D55" s="3" t="s">
        <v>5</v>
      </c>
      <c r="E55" s="3" t="s">
        <v>4</v>
      </c>
      <c r="F55" s="3" t="s">
        <v>5</v>
      </c>
      <c r="G55" s="3" t="s">
        <v>6</v>
      </c>
      <c r="H55" s="4" t="s">
        <v>7</v>
      </c>
    </row>
    <row r="56" spans="2:8" x14ac:dyDescent="0.15">
      <c r="B56" s="2">
        <v>1</v>
      </c>
      <c r="C56" s="5"/>
      <c r="D56" s="6"/>
      <c r="E56" s="5"/>
      <c r="F56" s="6"/>
      <c r="G56" s="7"/>
      <c r="H56" s="7"/>
    </row>
    <row r="57" spans="2:8" x14ac:dyDescent="0.15">
      <c r="B57" s="2">
        <v>2</v>
      </c>
      <c r="C57" s="5"/>
      <c r="D57" s="6"/>
      <c r="E57" s="5"/>
      <c r="F57" s="6"/>
      <c r="G57" s="7"/>
      <c r="H57" s="7"/>
    </row>
    <row r="58" spans="2:8" x14ac:dyDescent="0.15">
      <c r="B58" s="2">
        <v>3</v>
      </c>
      <c r="C58" s="5"/>
      <c r="D58" s="6"/>
      <c r="E58" s="5"/>
      <c r="F58" s="6"/>
      <c r="G58" s="7"/>
      <c r="H58" s="7"/>
    </row>
    <row r="59" spans="2:8" x14ac:dyDescent="0.15">
      <c r="B59" s="2">
        <v>4</v>
      </c>
      <c r="C59" s="5"/>
      <c r="D59" s="6"/>
      <c r="E59" s="5"/>
      <c r="F59" s="6"/>
      <c r="G59" s="7"/>
      <c r="H59" s="7"/>
    </row>
    <row r="60" spans="2:8" x14ac:dyDescent="0.15">
      <c r="B60" s="2">
        <v>5</v>
      </c>
      <c r="C60" s="5"/>
      <c r="D60" s="6"/>
      <c r="E60" s="5"/>
      <c r="F60" s="6"/>
      <c r="G60" s="7"/>
      <c r="H60" s="7"/>
    </row>
    <row r="61" spans="2:8" x14ac:dyDescent="0.15">
      <c r="B61" s="2">
        <v>6</v>
      </c>
      <c r="C61" s="5"/>
      <c r="D61" s="6"/>
      <c r="E61" s="5"/>
      <c r="F61" s="6"/>
      <c r="G61" s="7"/>
      <c r="H61" s="7"/>
    </row>
    <row r="62" spans="2:8" x14ac:dyDescent="0.15">
      <c r="B62" s="2">
        <v>7</v>
      </c>
      <c r="C62" s="5"/>
      <c r="D62" s="6"/>
      <c r="E62" s="5"/>
      <c r="F62" s="6"/>
      <c r="G62" s="7"/>
      <c r="H62" s="7"/>
    </row>
    <row r="63" spans="2:8" x14ac:dyDescent="0.15">
      <c r="B63" s="2">
        <v>8</v>
      </c>
      <c r="C63" s="5"/>
      <c r="D63" s="6"/>
      <c r="E63" s="5"/>
      <c r="F63" s="6"/>
      <c r="G63" s="7"/>
      <c r="H63" s="7"/>
    </row>
    <row r="64" spans="2:8" x14ac:dyDescent="0.15">
      <c r="B64" s="2">
        <v>9</v>
      </c>
      <c r="C64" s="5"/>
      <c r="D64" s="6"/>
      <c r="E64" s="5"/>
      <c r="F64" s="6"/>
      <c r="G64" s="7"/>
      <c r="H64" s="7"/>
    </row>
    <row r="65" spans="2:8" x14ac:dyDescent="0.15">
      <c r="B65" s="2">
        <v>10</v>
      </c>
      <c r="C65" s="5"/>
      <c r="D65" s="6"/>
      <c r="E65" s="5"/>
      <c r="F65" s="6"/>
      <c r="G65" s="7"/>
      <c r="H65" s="7"/>
    </row>
    <row r="66" spans="2:8" x14ac:dyDescent="0.15">
      <c r="B66" s="2">
        <v>11</v>
      </c>
      <c r="C66" s="5"/>
      <c r="D66" s="6"/>
      <c r="E66" s="5"/>
      <c r="F66" s="6"/>
      <c r="G66" s="7"/>
      <c r="H66" s="7"/>
    </row>
    <row r="67" spans="2:8" ht="15" thickBot="1" x14ac:dyDescent="0.2">
      <c r="B67" s="8">
        <v>12</v>
      </c>
      <c r="C67" s="5"/>
      <c r="D67" s="6"/>
      <c r="E67" s="5"/>
      <c r="F67" s="6"/>
      <c r="G67" s="7"/>
      <c r="H67" s="7"/>
    </row>
    <row r="68" spans="2:8" ht="15" thickBot="1" x14ac:dyDescent="0.2">
      <c r="B68" s="9" t="s">
        <v>8</v>
      </c>
      <c r="C68" s="10">
        <f>SUM(C56:C67)</f>
        <v>0</v>
      </c>
      <c r="D68" s="10">
        <f>SUM(D56:D67)</f>
        <v>0</v>
      </c>
      <c r="E68" s="10">
        <f t="shared" ref="E68:H68" si="3">SUM(E56:E67)</f>
        <v>0</v>
      </c>
      <c r="F68" s="10">
        <f t="shared" si="3"/>
        <v>0</v>
      </c>
      <c r="G68" s="10">
        <f t="shared" si="3"/>
        <v>0</v>
      </c>
      <c r="H68" s="10">
        <f t="shared" si="3"/>
        <v>0</v>
      </c>
    </row>
    <row r="72" spans="2:8" x14ac:dyDescent="0.15">
      <c r="B72" s="16" t="s">
        <v>36</v>
      </c>
      <c r="C72" s="15"/>
      <c r="D72" s="15"/>
      <c r="E72" s="15"/>
      <c r="F72" s="15"/>
      <c r="G72" s="15"/>
    </row>
    <row r="73" spans="2:8" x14ac:dyDescent="0.15">
      <c r="B73" s="17"/>
      <c r="C73" s="17" t="s">
        <v>25</v>
      </c>
      <c r="D73" s="17" t="s">
        <v>26</v>
      </c>
      <c r="E73" s="17" t="s">
        <v>27</v>
      </c>
      <c r="F73" s="17" t="s">
        <v>28</v>
      </c>
      <c r="G73" s="17" t="s">
        <v>24</v>
      </c>
    </row>
    <row r="74" spans="2:8" x14ac:dyDescent="0.15">
      <c r="B74" s="17" t="s">
        <v>11</v>
      </c>
      <c r="C74" s="18"/>
      <c r="D74" s="18"/>
      <c r="E74" s="18"/>
      <c r="F74" s="18"/>
      <c r="G74" s="17"/>
    </row>
    <row r="75" spans="2:8" x14ac:dyDescent="0.15">
      <c r="B75" s="17" t="s">
        <v>12</v>
      </c>
      <c r="C75" s="18"/>
      <c r="D75" s="18"/>
      <c r="E75" s="18"/>
      <c r="F75" s="18"/>
      <c r="G75" s="17"/>
    </row>
    <row r="76" spans="2:8" x14ac:dyDescent="0.15">
      <c r="B76" s="17" t="s">
        <v>13</v>
      </c>
      <c r="C76" s="18"/>
      <c r="D76" s="18"/>
      <c r="E76" s="18"/>
      <c r="F76" s="18"/>
      <c r="G76" s="17"/>
    </row>
    <row r="77" spans="2:8" x14ac:dyDescent="0.15">
      <c r="B77" s="17" t="s">
        <v>14</v>
      </c>
      <c r="C77" s="18"/>
      <c r="D77" s="18"/>
      <c r="E77" s="18"/>
      <c r="F77" s="18"/>
      <c r="G77" s="17"/>
    </row>
    <row r="78" spans="2:8" x14ac:dyDescent="0.15">
      <c r="B78" s="17" t="s">
        <v>15</v>
      </c>
      <c r="C78" s="18"/>
      <c r="D78" s="18"/>
      <c r="E78" s="18"/>
      <c r="F78" s="18"/>
      <c r="G78" s="17"/>
    </row>
    <row r="79" spans="2:8" x14ac:dyDescent="0.15">
      <c r="B79" s="17" t="s">
        <v>16</v>
      </c>
      <c r="C79" s="18"/>
      <c r="D79" s="18"/>
      <c r="E79" s="18"/>
      <c r="F79" s="18"/>
      <c r="G79" s="17"/>
    </row>
    <row r="80" spans="2:8" x14ac:dyDescent="0.15">
      <c r="B80" s="17" t="s">
        <v>17</v>
      </c>
      <c r="C80" s="18"/>
      <c r="D80" s="18"/>
      <c r="E80" s="18"/>
      <c r="F80" s="18"/>
      <c r="G80" s="17"/>
    </row>
    <row r="81" spans="2:7" x14ac:dyDescent="0.15">
      <c r="B81" s="17" t="s">
        <v>18</v>
      </c>
      <c r="C81" s="18"/>
      <c r="D81" s="18"/>
      <c r="E81" s="18"/>
      <c r="F81" s="18"/>
      <c r="G81" s="17"/>
    </row>
    <row r="82" spans="2:7" x14ac:dyDescent="0.15">
      <c r="B82" s="17" t="s">
        <v>19</v>
      </c>
      <c r="C82" s="18"/>
      <c r="D82" s="18"/>
      <c r="E82" s="18"/>
      <c r="F82" s="18"/>
      <c r="G82" s="17"/>
    </row>
    <row r="83" spans="2:7" x14ac:dyDescent="0.15">
      <c r="B83" s="17" t="s">
        <v>20</v>
      </c>
      <c r="C83" s="18"/>
      <c r="D83" s="18"/>
      <c r="E83" s="18"/>
      <c r="F83" s="18"/>
      <c r="G83" s="17"/>
    </row>
    <row r="84" spans="2:7" x14ac:dyDescent="0.15">
      <c r="B84" s="17" t="s">
        <v>21</v>
      </c>
      <c r="C84" s="18"/>
      <c r="D84" s="18"/>
      <c r="E84" s="18"/>
      <c r="F84" s="18"/>
      <c r="G84" s="17"/>
    </row>
    <row r="85" spans="2:7" x14ac:dyDescent="0.15">
      <c r="B85" s="17" t="s">
        <v>22</v>
      </c>
      <c r="C85" s="18"/>
      <c r="D85" s="18"/>
      <c r="E85" s="18"/>
      <c r="F85" s="18"/>
      <c r="G85" s="17"/>
    </row>
    <row r="86" spans="2:7" x14ac:dyDescent="0.15">
      <c r="B86" s="19"/>
      <c r="C86" s="19"/>
      <c r="D86" s="19"/>
      <c r="E86" s="19"/>
      <c r="F86" s="19"/>
      <c r="G86" s="19"/>
    </row>
    <row r="88" spans="2:7" ht="15" thickBot="1" x14ac:dyDescent="0.2">
      <c r="B88" s="23" t="s">
        <v>35</v>
      </c>
    </row>
    <row r="89" spans="2:7" x14ac:dyDescent="0.15">
      <c r="B89" s="99" t="s">
        <v>30</v>
      </c>
      <c r="C89" s="20" t="s">
        <v>22</v>
      </c>
    </row>
    <row r="90" spans="2:7" x14ac:dyDescent="0.15">
      <c r="B90" s="100"/>
      <c r="C90" s="21" t="s">
        <v>11</v>
      </c>
    </row>
    <row r="91" spans="2:7" ht="15" thickBot="1" x14ac:dyDescent="0.2">
      <c r="B91" s="101"/>
      <c r="C91" s="22" t="s">
        <v>12</v>
      </c>
    </row>
    <row r="92" spans="2:7" x14ac:dyDescent="0.15">
      <c r="B92" s="99" t="s">
        <v>31</v>
      </c>
      <c r="C92" s="20" t="s">
        <v>13</v>
      </c>
    </row>
    <row r="93" spans="2:7" x14ac:dyDescent="0.15">
      <c r="B93" s="100"/>
      <c r="C93" s="21" t="s">
        <v>14</v>
      </c>
    </row>
    <row r="94" spans="2:7" ht="15" thickBot="1" x14ac:dyDescent="0.2">
      <c r="B94" s="101"/>
      <c r="C94" s="22" t="s">
        <v>15</v>
      </c>
    </row>
    <row r="95" spans="2:7" x14ac:dyDescent="0.15">
      <c r="B95" s="99" t="s">
        <v>32</v>
      </c>
      <c r="C95" s="20" t="s">
        <v>16</v>
      </c>
    </row>
    <row r="96" spans="2:7" x14ac:dyDescent="0.15">
      <c r="B96" s="100"/>
      <c r="C96" s="21" t="s">
        <v>17</v>
      </c>
    </row>
    <row r="97" spans="2:3" ht="15" thickBot="1" x14ac:dyDescent="0.2">
      <c r="B97" s="101"/>
      <c r="C97" s="22" t="s">
        <v>18</v>
      </c>
    </row>
    <row r="98" spans="2:3" x14ac:dyDescent="0.15">
      <c r="B98" s="99" t="s">
        <v>33</v>
      </c>
      <c r="C98" s="20" t="s">
        <v>34</v>
      </c>
    </row>
    <row r="99" spans="2:3" x14ac:dyDescent="0.15">
      <c r="B99" s="100"/>
      <c r="C99" s="21" t="s">
        <v>20</v>
      </c>
    </row>
    <row r="100" spans="2:3" ht="15" thickBot="1" x14ac:dyDescent="0.2">
      <c r="B100" s="101"/>
      <c r="C100" s="22" t="s">
        <v>21</v>
      </c>
    </row>
    <row r="104" spans="2:3" x14ac:dyDescent="0.15">
      <c r="B104" s="26"/>
    </row>
  </sheetData>
  <mergeCells count="16">
    <mergeCell ref="C3:D3"/>
    <mergeCell ref="E3:F3"/>
    <mergeCell ref="G3:H3"/>
    <mergeCell ref="C20:D20"/>
    <mergeCell ref="E20:F20"/>
    <mergeCell ref="G20:H20"/>
    <mergeCell ref="E37:F37"/>
    <mergeCell ref="G37:H37"/>
    <mergeCell ref="C54:D54"/>
    <mergeCell ref="E54:F54"/>
    <mergeCell ref="G54:H54"/>
    <mergeCell ref="B89:B91"/>
    <mergeCell ref="B92:B94"/>
    <mergeCell ref="B95:B97"/>
    <mergeCell ref="B98:B100"/>
    <mergeCell ref="C37:D3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J68"/>
  <sheetViews>
    <sheetView rightToLeft="1" workbookViewId="0">
      <selection activeCell="A9" sqref="A9"/>
    </sheetView>
  </sheetViews>
  <sheetFormatPr baseColWidth="10" defaultColWidth="8.83203125" defaultRowHeight="14" x14ac:dyDescent="0.15"/>
  <sheetData>
    <row r="3" spans="2:10" x14ac:dyDescent="0.15">
      <c r="B3" s="96" t="s">
        <v>29</v>
      </c>
      <c r="C3" s="97"/>
      <c r="D3" s="97"/>
      <c r="F3" s="96" t="s">
        <v>10</v>
      </c>
      <c r="G3" s="97"/>
      <c r="H3" s="97"/>
      <c r="I3" s="97"/>
      <c r="J3" s="98"/>
    </row>
    <row r="4" spans="2:10" x14ac:dyDescent="0.15">
      <c r="B4" s="11"/>
      <c r="C4" s="11" t="s">
        <v>10</v>
      </c>
      <c r="D4" s="11" t="s">
        <v>23</v>
      </c>
      <c r="F4" s="11"/>
      <c r="G4" s="11" t="s">
        <v>29</v>
      </c>
      <c r="H4" s="11" t="s">
        <v>26</v>
      </c>
      <c r="I4" s="11" t="s">
        <v>27</v>
      </c>
      <c r="J4" s="11" t="s">
        <v>28</v>
      </c>
    </row>
    <row r="5" spans="2:10" x14ac:dyDescent="0.15">
      <c r="B5" s="12" t="s">
        <v>11</v>
      </c>
      <c r="C5" s="11"/>
      <c r="D5" s="11"/>
      <c r="F5" s="11" t="s">
        <v>10</v>
      </c>
      <c r="G5" s="11">
        <f>C17</f>
        <v>0</v>
      </c>
      <c r="H5" s="11">
        <f>D17</f>
        <v>0</v>
      </c>
      <c r="I5" s="11">
        <v>0</v>
      </c>
      <c r="J5" s="11">
        <v>0</v>
      </c>
    </row>
    <row r="6" spans="2:10" x14ac:dyDescent="0.15">
      <c r="B6" s="12" t="s">
        <v>12</v>
      </c>
      <c r="C6" s="11"/>
      <c r="D6" s="11"/>
    </row>
    <row r="7" spans="2:10" x14ac:dyDescent="0.15">
      <c r="B7" s="12" t="s">
        <v>13</v>
      </c>
      <c r="C7" s="11"/>
      <c r="D7" s="11"/>
    </row>
    <row r="8" spans="2:10" x14ac:dyDescent="0.15">
      <c r="B8" s="12" t="s">
        <v>14</v>
      </c>
      <c r="C8" s="11"/>
      <c r="D8" s="11"/>
    </row>
    <row r="9" spans="2:10" x14ac:dyDescent="0.15">
      <c r="B9" s="12" t="s">
        <v>15</v>
      </c>
      <c r="C9" s="11"/>
      <c r="D9" s="11"/>
    </row>
    <row r="10" spans="2:10" x14ac:dyDescent="0.15">
      <c r="B10" s="12" t="s">
        <v>16</v>
      </c>
      <c r="C10" s="11"/>
      <c r="D10" s="11"/>
    </row>
    <row r="11" spans="2:10" x14ac:dyDescent="0.15">
      <c r="B11" s="12" t="s">
        <v>17</v>
      </c>
      <c r="C11" s="11"/>
      <c r="D11" s="11"/>
    </row>
    <row r="12" spans="2:10" x14ac:dyDescent="0.15">
      <c r="B12" s="12" t="s">
        <v>18</v>
      </c>
      <c r="C12" s="11"/>
      <c r="D12" s="11"/>
    </row>
    <row r="13" spans="2:10" x14ac:dyDescent="0.15">
      <c r="B13" s="12" t="s">
        <v>19</v>
      </c>
      <c r="C13" s="11"/>
      <c r="D13" s="11"/>
    </row>
    <row r="14" spans="2:10" x14ac:dyDescent="0.15">
      <c r="B14" s="12" t="s">
        <v>20</v>
      </c>
      <c r="C14" s="11"/>
      <c r="D14" s="11"/>
    </row>
    <row r="15" spans="2:10" x14ac:dyDescent="0.15">
      <c r="B15" s="12" t="s">
        <v>21</v>
      </c>
      <c r="C15" s="11"/>
      <c r="D15" s="11"/>
    </row>
    <row r="16" spans="2:10" x14ac:dyDescent="0.15">
      <c r="B16" s="12" t="s">
        <v>22</v>
      </c>
      <c r="C16" s="11"/>
      <c r="D16" s="11"/>
    </row>
    <row r="17" spans="2:4" x14ac:dyDescent="0.15">
      <c r="B17" s="13" t="s">
        <v>8</v>
      </c>
      <c r="C17" s="14">
        <f>SUM(C5:C16)</f>
        <v>0</v>
      </c>
      <c r="D17" s="11">
        <f>SUM(D5:D16)</f>
        <v>0</v>
      </c>
    </row>
    <row r="18" spans="2:4" x14ac:dyDescent="0.15">
      <c r="B18" s="15"/>
      <c r="C18" s="15"/>
      <c r="D18" s="15"/>
    </row>
    <row r="19" spans="2:4" x14ac:dyDescent="0.15">
      <c r="B19" s="15"/>
      <c r="C19" s="15"/>
      <c r="D19" s="15"/>
    </row>
    <row r="20" spans="2:4" x14ac:dyDescent="0.15">
      <c r="B20" s="96" t="s">
        <v>26</v>
      </c>
      <c r="C20" s="97"/>
      <c r="D20" s="97"/>
    </row>
    <row r="21" spans="2:4" x14ac:dyDescent="0.15">
      <c r="B21" s="11"/>
      <c r="C21" s="11" t="s">
        <v>10</v>
      </c>
      <c r="D21" s="11" t="s">
        <v>23</v>
      </c>
    </row>
    <row r="22" spans="2:4" x14ac:dyDescent="0.15">
      <c r="B22" s="12" t="s">
        <v>11</v>
      </c>
      <c r="C22" s="11"/>
      <c r="D22" s="11"/>
    </row>
    <row r="23" spans="2:4" x14ac:dyDescent="0.15">
      <c r="B23" s="12" t="s">
        <v>12</v>
      </c>
      <c r="C23" s="11"/>
      <c r="D23" s="11"/>
    </row>
    <row r="24" spans="2:4" x14ac:dyDescent="0.15">
      <c r="B24" s="12" t="s">
        <v>13</v>
      </c>
      <c r="C24" s="11"/>
      <c r="D24" s="11"/>
    </row>
    <row r="25" spans="2:4" x14ac:dyDescent="0.15">
      <c r="B25" s="12" t="s">
        <v>14</v>
      </c>
      <c r="C25" s="11"/>
      <c r="D25" s="11"/>
    </row>
    <row r="26" spans="2:4" x14ac:dyDescent="0.15">
      <c r="B26" s="12" t="s">
        <v>15</v>
      </c>
      <c r="C26" s="11"/>
      <c r="D26" s="11"/>
    </row>
    <row r="27" spans="2:4" x14ac:dyDescent="0.15">
      <c r="B27" s="12" t="s">
        <v>16</v>
      </c>
      <c r="C27" s="11"/>
      <c r="D27" s="11"/>
    </row>
    <row r="28" spans="2:4" x14ac:dyDescent="0.15">
      <c r="B28" s="12" t="s">
        <v>17</v>
      </c>
      <c r="C28" s="11"/>
      <c r="D28" s="11"/>
    </row>
    <row r="29" spans="2:4" x14ac:dyDescent="0.15">
      <c r="B29" s="12" t="s">
        <v>18</v>
      </c>
      <c r="C29" s="11"/>
      <c r="D29" s="11"/>
    </row>
    <row r="30" spans="2:4" x14ac:dyDescent="0.15">
      <c r="B30" s="12" t="s">
        <v>19</v>
      </c>
      <c r="C30" s="11"/>
      <c r="D30" s="11"/>
    </row>
    <row r="31" spans="2:4" x14ac:dyDescent="0.15">
      <c r="B31" s="12" t="s">
        <v>20</v>
      </c>
      <c r="C31" s="11"/>
      <c r="D31" s="11"/>
    </row>
    <row r="32" spans="2:4" x14ac:dyDescent="0.15">
      <c r="B32" s="12" t="s">
        <v>21</v>
      </c>
      <c r="C32" s="11"/>
      <c r="D32" s="11"/>
    </row>
    <row r="33" spans="2:4" x14ac:dyDescent="0.15">
      <c r="B33" s="12" t="s">
        <v>22</v>
      </c>
      <c r="C33" s="11"/>
      <c r="D33" s="11"/>
    </row>
    <row r="34" spans="2:4" x14ac:dyDescent="0.15">
      <c r="B34" s="13" t="s">
        <v>8</v>
      </c>
      <c r="C34" s="14">
        <f>SUM(C22:C33)</f>
        <v>0</v>
      </c>
      <c r="D34" s="11">
        <f>SUM(D22:D33)</f>
        <v>0</v>
      </c>
    </row>
    <row r="37" spans="2:4" x14ac:dyDescent="0.15">
      <c r="B37" s="96" t="s">
        <v>27</v>
      </c>
      <c r="C37" s="97"/>
      <c r="D37" s="97"/>
    </row>
    <row r="38" spans="2:4" x14ac:dyDescent="0.15">
      <c r="B38" s="11"/>
      <c r="C38" s="11" t="s">
        <v>10</v>
      </c>
      <c r="D38" s="11" t="s">
        <v>23</v>
      </c>
    </row>
    <row r="39" spans="2:4" x14ac:dyDescent="0.15">
      <c r="B39" s="12" t="s">
        <v>11</v>
      </c>
      <c r="C39" s="11"/>
      <c r="D39" s="11"/>
    </row>
    <row r="40" spans="2:4" x14ac:dyDescent="0.15">
      <c r="B40" s="12" t="s">
        <v>12</v>
      </c>
      <c r="C40" s="11"/>
      <c r="D40" s="11"/>
    </row>
    <row r="41" spans="2:4" x14ac:dyDescent="0.15">
      <c r="B41" s="12" t="s">
        <v>13</v>
      </c>
      <c r="C41" s="11"/>
      <c r="D41" s="11"/>
    </row>
    <row r="42" spans="2:4" x14ac:dyDescent="0.15">
      <c r="B42" s="12" t="s">
        <v>14</v>
      </c>
      <c r="C42" s="11"/>
      <c r="D42" s="11"/>
    </row>
    <row r="43" spans="2:4" x14ac:dyDescent="0.15">
      <c r="B43" s="12" t="s">
        <v>15</v>
      </c>
      <c r="C43" s="11"/>
      <c r="D43" s="11"/>
    </row>
    <row r="44" spans="2:4" x14ac:dyDescent="0.15">
      <c r="B44" s="12" t="s">
        <v>16</v>
      </c>
      <c r="C44" s="11"/>
      <c r="D44" s="11"/>
    </row>
    <row r="45" spans="2:4" x14ac:dyDescent="0.15">
      <c r="B45" s="12" t="s">
        <v>17</v>
      </c>
      <c r="C45" s="11"/>
      <c r="D45" s="11"/>
    </row>
    <row r="46" spans="2:4" x14ac:dyDescent="0.15">
      <c r="B46" s="12" t="s">
        <v>18</v>
      </c>
      <c r="C46" s="11"/>
      <c r="D46" s="11"/>
    </row>
    <row r="47" spans="2:4" x14ac:dyDescent="0.15">
      <c r="B47" s="12" t="s">
        <v>19</v>
      </c>
      <c r="C47" s="11"/>
      <c r="D47" s="11"/>
    </row>
    <row r="48" spans="2:4" x14ac:dyDescent="0.15">
      <c r="B48" s="12" t="s">
        <v>20</v>
      </c>
      <c r="C48" s="11"/>
      <c r="D48" s="11"/>
    </row>
    <row r="49" spans="2:4" x14ac:dyDescent="0.15">
      <c r="B49" s="12" t="s">
        <v>21</v>
      </c>
      <c r="C49" s="11"/>
      <c r="D49" s="11"/>
    </row>
    <row r="50" spans="2:4" x14ac:dyDescent="0.15">
      <c r="B50" s="12" t="s">
        <v>22</v>
      </c>
      <c r="C50" s="11"/>
      <c r="D50" s="11"/>
    </row>
    <row r="51" spans="2:4" x14ac:dyDescent="0.15">
      <c r="B51" s="13" t="s">
        <v>8</v>
      </c>
      <c r="C51" s="14">
        <f>SUM(C39:C50)</f>
        <v>0</v>
      </c>
      <c r="D51" s="11">
        <f>SUM(D39:D50)</f>
        <v>0</v>
      </c>
    </row>
    <row r="54" spans="2:4" x14ac:dyDescent="0.15">
      <c r="B54" s="96" t="s">
        <v>28</v>
      </c>
      <c r="C54" s="97"/>
      <c r="D54" s="97"/>
    </row>
    <row r="55" spans="2:4" x14ac:dyDescent="0.15">
      <c r="B55" s="11"/>
      <c r="C55" s="11" t="s">
        <v>10</v>
      </c>
      <c r="D55" s="11" t="s">
        <v>23</v>
      </c>
    </row>
    <row r="56" spans="2:4" x14ac:dyDescent="0.15">
      <c r="B56" s="12" t="s">
        <v>11</v>
      </c>
      <c r="C56" s="11"/>
      <c r="D56" s="11"/>
    </row>
    <row r="57" spans="2:4" x14ac:dyDescent="0.15">
      <c r="B57" s="12" t="s">
        <v>12</v>
      </c>
      <c r="C57" s="11"/>
      <c r="D57" s="11"/>
    </row>
    <row r="58" spans="2:4" x14ac:dyDescent="0.15">
      <c r="B58" s="12" t="s">
        <v>13</v>
      </c>
      <c r="C58" s="11"/>
      <c r="D58" s="11"/>
    </row>
    <row r="59" spans="2:4" x14ac:dyDescent="0.15">
      <c r="B59" s="12" t="s">
        <v>14</v>
      </c>
      <c r="C59" s="11"/>
      <c r="D59" s="11"/>
    </row>
    <row r="60" spans="2:4" x14ac:dyDescent="0.15">
      <c r="B60" s="12" t="s">
        <v>15</v>
      </c>
      <c r="C60" s="11"/>
      <c r="D60" s="11"/>
    </row>
    <row r="61" spans="2:4" x14ac:dyDescent="0.15">
      <c r="B61" s="12" t="s">
        <v>16</v>
      </c>
      <c r="C61" s="11"/>
      <c r="D61" s="11"/>
    </row>
    <row r="62" spans="2:4" x14ac:dyDescent="0.15">
      <c r="B62" s="12" t="s">
        <v>17</v>
      </c>
      <c r="C62" s="11"/>
      <c r="D62" s="11"/>
    </row>
    <row r="63" spans="2:4" x14ac:dyDescent="0.15">
      <c r="B63" s="12" t="s">
        <v>18</v>
      </c>
      <c r="C63" s="11"/>
      <c r="D63" s="11"/>
    </row>
    <row r="64" spans="2:4" x14ac:dyDescent="0.15">
      <c r="B64" s="12" t="s">
        <v>19</v>
      </c>
      <c r="C64" s="11"/>
      <c r="D64" s="11"/>
    </row>
    <row r="65" spans="2:4" x14ac:dyDescent="0.15">
      <c r="B65" s="12" t="s">
        <v>20</v>
      </c>
      <c r="C65" s="11"/>
      <c r="D65" s="11"/>
    </row>
    <row r="66" spans="2:4" x14ac:dyDescent="0.15">
      <c r="B66" s="12" t="s">
        <v>21</v>
      </c>
      <c r="C66" s="11"/>
      <c r="D66" s="11"/>
    </row>
    <row r="67" spans="2:4" x14ac:dyDescent="0.15">
      <c r="B67" s="12" t="s">
        <v>22</v>
      </c>
      <c r="C67" s="11"/>
      <c r="D67" s="11"/>
    </row>
    <row r="68" spans="2:4" x14ac:dyDescent="0.15">
      <c r="B68" s="13" t="s">
        <v>8</v>
      </c>
      <c r="C68" s="14">
        <f>SUM(C56:C67)</f>
        <v>0</v>
      </c>
      <c r="D68" s="11">
        <f>SUM(D56:D67)</f>
        <v>0</v>
      </c>
    </row>
  </sheetData>
  <mergeCells count="5">
    <mergeCell ref="B3:D3"/>
    <mergeCell ref="F3:J3"/>
    <mergeCell ref="B20:D20"/>
    <mergeCell ref="B37:D37"/>
    <mergeCell ref="B54:D5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70"/>
  <sheetViews>
    <sheetView rightToLeft="1" tabSelected="1" topLeftCell="A4" workbookViewId="0">
      <selection activeCell="H32" sqref="H32"/>
    </sheetView>
  </sheetViews>
  <sheetFormatPr baseColWidth="10" defaultColWidth="8.83203125" defaultRowHeight="14" x14ac:dyDescent="0.15"/>
  <sheetData>
    <row r="2" spans="2:11" x14ac:dyDescent="0.15">
      <c r="B2" s="25" t="s">
        <v>38</v>
      </c>
      <c r="C2" s="25"/>
    </row>
    <row r="3" spans="2:11" x14ac:dyDescent="0.15">
      <c r="B3" s="25" t="s">
        <v>37</v>
      </c>
      <c r="C3" s="25"/>
    </row>
    <row r="5" spans="2:11" x14ac:dyDescent="0.15">
      <c r="B5" s="96" t="s">
        <v>29</v>
      </c>
      <c r="C5" s="97"/>
      <c r="D5" s="97"/>
      <c r="E5" s="24"/>
      <c r="G5" s="96" t="s">
        <v>10</v>
      </c>
      <c r="H5" s="97"/>
      <c r="I5" s="97"/>
      <c r="J5" s="97"/>
      <c r="K5" s="98"/>
    </row>
    <row r="6" spans="2:11" x14ac:dyDescent="0.15">
      <c r="B6" s="11"/>
      <c r="C6" s="11" t="s">
        <v>10</v>
      </c>
      <c r="D6" s="11" t="s">
        <v>23</v>
      </c>
      <c r="E6" s="15"/>
      <c r="G6" s="11"/>
      <c r="H6" s="11" t="s">
        <v>29</v>
      </c>
      <c r="I6" s="11" t="s">
        <v>26</v>
      </c>
      <c r="J6" s="11" t="s">
        <v>27</v>
      </c>
      <c r="K6" s="11" t="s">
        <v>28</v>
      </c>
    </row>
    <row r="7" spans="2:11" x14ac:dyDescent="0.15">
      <c r="B7" s="12" t="s">
        <v>11</v>
      </c>
      <c r="C7" s="11"/>
      <c r="D7" s="11"/>
      <c r="E7" s="15"/>
      <c r="G7" s="11" t="s">
        <v>10</v>
      </c>
      <c r="H7" s="11">
        <f>C19</f>
        <v>0</v>
      </c>
      <c r="I7" s="11">
        <f>D19</f>
        <v>0</v>
      </c>
      <c r="J7" s="11">
        <v>0</v>
      </c>
      <c r="K7" s="11">
        <v>0</v>
      </c>
    </row>
    <row r="8" spans="2:11" x14ac:dyDescent="0.15">
      <c r="B8" s="12" t="s">
        <v>12</v>
      </c>
      <c r="C8" s="11"/>
      <c r="D8" s="11"/>
      <c r="E8" s="15"/>
    </row>
    <row r="9" spans="2:11" x14ac:dyDescent="0.15">
      <c r="B9" s="12" t="s">
        <v>13</v>
      </c>
      <c r="C9" s="11"/>
      <c r="D9" s="11"/>
      <c r="E9" s="15"/>
    </row>
    <row r="10" spans="2:11" x14ac:dyDescent="0.15">
      <c r="B10" s="12" t="s">
        <v>14</v>
      </c>
      <c r="C10" s="11"/>
      <c r="D10" s="11"/>
      <c r="E10" s="15"/>
    </row>
    <row r="11" spans="2:11" x14ac:dyDescent="0.15">
      <c r="B11" s="12" t="s">
        <v>15</v>
      </c>
      <c r="C11" s="11"/>
      <c r="D11" s="11"/>
      <c r="E11" s="15"/>
    </row>
    <row r="12" spans="2:11" x14ac:dyDescent="0.15">
      <c r="B12" s="12" t="s">
        <v>16</v>
      </c>
      <c r="C12" s="11"/>
      <c r="D12" s="11"/>
      <c r="E12" s="15"/>
    </row>
    <row r="13" spans="2:11" x14ac:dyDescent="0.15">
      <c r="B13" s="12" t="s">
        <v>17</v>
      </c>
      <c r="C13" s="11"/>
      <c r="D13" s="11"/>
      <c r="E13" s="15"/>
    </row>
    <row r="14" spans="2:11" x14ac:dyDescent="0.15">
      <c r="B14" s="12" t="s">
        <v>18</v>
      </c>
      <c r="C14" s="11"/>
      <c r="D14" s="11"/>
      <c r="E14" s="15"/>
    </row>
    <row r="15" spans="2:11" x14ac:dyDescent="0.15">
      <c r="B15" s="12" t="s">
        <v>19</v>
      </c>
      <c r="C15" s="11"/>
      <c r="D15" s="11"/>
      <c r="E15" s="15"/>
    </row>
    <row r="16" spans="2:11" x14ac:dyDescent="0.15">
      <c r="B16" s="12" t="s">
        <v>20</v>
      </c>
      <c r="C16" s="11"/>
      <c r="D16" s="11"/>
      <c r="E16" s="15"/>
    </row>
    <row r="17" spans="2:5" x14ac:dyDescent="0.15">
      <c r="B17" s="12" t="s">
        <v>21</v>
      </c>
      <c r="C17" s="11"/>
      <c r="D17" s="11"/>
      <c r="E17" s="15"/>
    </row>
    <row r="18" spans="2:5" x14ac:dyDescent="0.15">
      <c r="B18" s="12" t="s">
        <v>22</v>
      </c>
      <c r="C18" s="11"/>
      <c r="D18" s="11"/>
      <c r="E18" s="15"/>
    </row>
    <row r="19" spans="2:5" x14ac:dyDescent="0.15">
      <c r="B19" s="13" t="s">
        <v>8</v>
      </c>
      <c r="C19" s="14">
        <f>SUM(C7:C18)</f>
        <v>0</v>
      </c>
      <c r="D19" s="11">
        <f>SUM(D7:D18)</f>
        <v>0</v>
      </c>
      <c r="E19" s="15"/>
    </row>
    <row r="20" spans="2:5" x14ac:dyDescent="0.15">
      <c r="B20" s="15"/>
      <c r="C20" s="15"/>
      <c r="D20" s="15"/>
      <c r="E20" s="15"/>
    </row>
    <row r="21" spans="2:5" x14ac:dyDescent="0.15">
      <c r="B21" s="15"/>
      <c r="C21" s="15"/>
      <c r="D21" s="15"/>
      <c r="E21" s="15"/>
    </row>
    <row r="22" spans="2:5" x14ac:dyDescent="0.15">
      <c r="B22" s="96" t="s">
        <v>26</v>
      </c>
      <c r="C22" s="97"/>
      <c r="D22" s="97"/>
      <c r="E22" s="24"/>
    </row>
    <row r="23" spans="2:5" x14ac:dyDescent="0.15">
      <c r="B23" s="11"/>
      <c r="C23" s="11" t="s">
        <v>10</v>
      </c>
      <c r="D23" s="11" t="s">
        <v>23</v>
      </c>
      <c r="E23" s="15"/>
    </row>
    <row r="24" spans="2:5" x14ac:dyDescent="0.15">
      <c r="B24" s="12" t="s">
        <v>11</v>
      </c>
      <c r="C24" s="11"/>
      <c r="D24" s="11"/>
      <c r="E24" s="15"/>
    </row>
    <row r="25" spans="2:5" x14ac:dyDescent="0.15">
      <c r="B25" s="12" t="s">
        <v>12</v>
      </c>
      <c r="C25" s="11"/>
      <c r="D25" s="11"/>
      <c r="E25" s="15"/>
    </row>
    <row r="26" spans="2:5" x14ac:dyDescent="0.15">
      <c r="B26" s="12" t="s">
        <v>13</v>
      </c>
      <c r="C26" s="11"/>
      <c r="D26" s="11"/>
      <c r="E26" s="15"/>
    </row>
    <row r="27" spans="2:5" x14ac:dyDescent="0.15">
      <c r="B27" s="12" t="s">
        <v>14</v>
      </c>
      <c r="C27" s="11"/>
      <c r="D27" s="11"/>
      <c r="E27" s="15"/>
    </row>
    <row r="28" spans="2:5" x14ac:dyDescent="0.15">
      <c r="B28" s="12" t="s">
        <v>15</v>
      </c>
      <c r="C28" s="11"/>
      <c r="D28" s="11"/>
      <c r="E28" s="15"/>
    </row>
    <row r="29" spans="2:5" x14ac:dyDescent="0.15">
      <c r="B29" s="12" t="s">
        <v>16</v>
      </c>
      <c r="C29" s="11"/>
      <c r="D29" s="11"/>
      <c r="E29" s="15"/>
    </row>
    <row r="30" spans="2:5" x14ac:dyDescent="0.15">
      <c r="B30" s="12" t="s">
        <v>17</v>
      </c>
      <c r="C30" s="11"/>
      <c r="D30" s="11"/>
      <c r="E30" s="15"/>
    </row>
    <row r="31" spans="2:5" x14ac:dyDescent="0.15">
      <c r="B31" s="12" t="s">
        <v>18</v>
      </c>
      <c r="C31" s="11"/>
      <c r="D31" s="11"/>
      <c r="E31" s="15"/>
    </row>
    <row r="32" spans="2:5" x14ac:dyDescent="0.15">
      <c r="B32" s="12" t="s">
        <v>19</v>
      </c>
      <c r="C32" s="11"/>
      <c r="D32" s="11"/>
      <c r="E32" s="15"/>
    </row>
    <row r="33" spans="2:5" x14ac:dyDescent="0.15">
      <c r="B33" s="12" t="s">
        <v>20</v>
      </c>
      <c r="C33" s="11"/>
      <c r="D33" s="11"/>
      <c r="E33" s="15"/>
    </row>
    <row r="34" spans="2:5" x14ac:dyDescent="0.15">
      <c r="B34" s="12" t="s">
        <v>21</v>
      </c>
      <c r="C34" s="11"/>
      <c r="D34" s="11"/>
      <c r="E34" s="15"/>
    </row>
    <row r="35" spans="2:5" x14ac:dyDescent="0.15">
      <c r="B35" s="12" t="s">
        <v>22</v>
      </c>
      <c r="C35" s="11"/>
      <c r="D35" s="11"/>
      <c r="E35" s="15"/>
    </row>
    <row r="36" spans="2:5" x14ac:dyDescent="0.15">
      <c r="B36" s="13" t="s">
        <v>8</v>
      </c>
      <c r="C36" s="14">
        <f>SUM(C24:C35)</f>
        <v>0</v>
      </c>
      <c r="D36" s="11">
        <f>SUM(D24:D35)</f>
        <v>0</v>
      </c>
      <c r="E36" s="15"/>
    </row>
    <row r="39" spans="2:5" x14ac:dyDescent="0.15">
      <c r="B39" s="96" t="s">
        <v>27</v>
      </c>
      <c r="C39" s="97"/>
      <c r="D39" s="97"/>
      <c r="E39" s="24"/>
    </row>
    <row r="40" spans="2:5" x14ac:dyDescent="0.15">
      <c r="B40" s="11"/>
      <c r="C40" s="11" t="s">
        <v>10</v>
      </c>
      <c r="D40" s="11" t="s">
        <v>23</v>
      </c>
      <c r="E40" s="15"/>
    </row>
    <row r="41" spans="2:5" x14ac:dyDescent="0.15">
      <c r="B41" s="12" t="s">
        <v>11</v>
      </c>
      <c r="C41" s="11"/>
      <c r="D41" s="11"/>
      <c r="E41" s="15"/>
    </row>
    <row r="42" spans="2:5" x14ac:dyDescent="0.15">
      <c r="B42" s="12" t="s">
        <v>12</v>
      </c>
      <c r="C42" s="11"/>
      <c r="D42" s="11"/>
      <c r="E42" s="15"/>
    </row>
    <row r="43" spans="2:5" x14ac:dyDescent="0.15">
      <c r="B43" s="12" t="s">
        <v>13</v>
      </c>
      <c r="C43" s="11"/>
      <c r="D43" s="11"/>
      <c r="E43" s="15"/>
    </row>
    <row r="44" spans="2:5" x14ac:dyDescent="0.15">
      <c r="B44" s="12" t="s">
        <v>14</v>
      </c>
      <c r="C44" s="11"/>
      <c r="D44" s="11"/>
      <c r="E44" s="15"/>
    </row>
    <row r="45" spans="2:5" x14ac:dyDescent="0.15">
      <c r="B45" s="12" t="s">
        <v>15</v>
      </c>
      <c r="C45" s="11"/>
      <c r="D45" s="11"/>
      <c r="E45" s="15"/>
    </row>
    <row r="46" spans="2:5" x14ac:dyDescent="0.15">
      <c r="B46" s="12" t="s">
        <v>16</v>
      </c>
      <c r="C46" s="11"/>
      <c r="D46" s="11"/>
      <c r="E46" s="15"/>
    </row>
    <row r="47" spans="2:5" x14ac:dyDescent="0.15">
      <c r="B47" s="12" t="s">
        <v>17</v>
      </c>
      <c r="C47" s="11"/>
      <c r="D47" s="11"/>
      <c r="E47" s="15"/>
    </row>
    <row r="48" spans="2:5" x14ac:dyDescent="0.15">
      <c r="B48" s="12" t="s">
        <v>18</v>
      </c>
      <c r="C48" s="11"/>
      <c r="D48" s="11"/>
      <c r="E48" s="15"/>
    </row>
    <row r="49" spans="2:5" x14ac:dyDescent="0.15">
      <c r="B49" s="12" t="s">
        <v>19</v>
      </c>
      <c r="C49" s="11"/>
      <c r="D49" s="11"/>
      <c r="E49" s="15"/>
    </row>
    <row r="50" spans="2:5" x14ac:dyDescent="0.15">
      <c r="B50" s="12" t="s">
        <v>20</v>
      </c>
      <c r="C50" s="11"/>
      <c r="D50" s="11"/>
      <c r="E50" s="15"/>
    </row>
    <row r="51" spans="2:5" x14ac:dyDescent="0.15">
      <c r="B51" s="12" t="s">
        <v>21</v>
      </c>
      <c r="C51" s="11"/>
      <c r="D51" s="11"/>
      <c r="E51" s="15"/>
    </row>
    <row r="52" spans="2:5" x14ac:dyDescent="0.15">
      <c r="B52" s="12" t="s">
        <v>22</v>
      </c>
      <c r="C52" s="11"/>
      <c r="D52" s="11"/>
      <c r="E52" s="15"/>
    </row>
    <row r="53" spans="2:5" x14ac:dyDescent="0.15">
      <c r="B53" s="13" t="s">
        <v>8</v>
      </c>
      <c r="C53" s="14">
        <f>SUM(C41:C52)</f>
        <v>0</v>
      </c>
      <c r="D53" s="11">
        <f>SUM(D41:D52)</f>
        <v>0</v>
      </c>
      <c r="E53" s="15"/>
    </row>
    <row r="56" spans="2:5" x14ac:dyDescent="0.15">
      <c r="B56" s="96" t="s">
        <v>28</v>
      </c>
      <c r="C56" s="97"/>
      <c r="D56" s="97"/>
      <c r="E56" s="24"/>
    </row>
    <row r="57" spans="2:5" x14ac:dyDescent="0.15">
      <c r="B57" s="11"/>
      <c r="C57" s="11" t="s">
        <v>10</v>
      </c>
      <c r="D57" s="11" t="s">
        <v>23</v>
      </c>
      <c r="E57" s="15"/>
    </row>
    <row r="58" spans="2:5" x14ac:dyDescent="0.15">
      <c r="B58" s="12" t="s">
        <v>11</v>
      </c>
      <c r="C58" s="11"/>
      <c r="D58" s="11"/>
      <c r="E58" s="15"/>
    </row>
    <row r="59" spans="2:5" x14ac:dyDescent="0.15">
      <c r="B59" s="12" t="s">
        <v>12</v>
      </c>
      <c r="C59" s="11"/>
      <c r="D59" s="11"/>
      <c r="E59" s="15"/>
    </row>
    <row r="60" spans="2:5" x14ac:dyDescent="0.15">
      <c r="B60" s="12" t="s">
        <v>13</v>
      </c>
      <c r="C60" s="11"/>
      <c r="D60" s="11"/>
      <c r="E60" s="15"/>
    </row>
    <row r="61" spans="2:5" x14ac:dyDescent="0.15">
      <c r="B61" s="12" t="s">
        <v>14</v>
      </c>
      <c r="C61" s="11"/>
      <c r="D61" s="11"/>
      <c r="E61" s="15"/>
    </row>
    <row r="62" spans="2:5" x14ac:dyDescent="0.15">
      <c r="B62" s="12" t="s">
        <v>15</v>
      </c>
      <c r="C62" s="11"/>
      <c r="D62" s="11"/>
      <c r="E62" s="15"/>
    </row>
    <row r="63" spans="2:5" x14ac:dyDescent="0.15">
      <c r="B63" s="12" t="s">
        <v>16</v>
      </c>
      <c r="C63" s="11"/>
      <c r="D63" s="11"/>
      <c r="E63" s="15"/>
    </row>
    <row r="64" spans="2:5" x14ac:dyDescent="0.15">
      <c r="B64" s="12" t="s">
        <v>17</v>
      </c>
      <c r="C64" s="11"/>
      <c r="D64" s="11"/>
      <c r="E64" s="15"/>
    </row>
    <row r="65" spans="2:5" x14ac:dyDescent="0.15">
      <c r="B65" s="12" t="s">
        <v>18</v>
      </c>
      <c r="C65" s="11"/>
      <c r="D65" s="11"/>
      <c r="E65" s="15"/>
    </row>
    <row r="66" spans="2:5" x14ac:dyDescent="0.15">
      <c r="B66" s="12" t="s">
        <v>19</v>
      </c>
      <c r="C66" s="11"/>
      <c r="D66" s="11"/>
      <c r="E66" s="15"/>
    </row>
    <row r="67" spans="2:5" x14ac:dyDescent="0.15">
      <c r="B67" s="12" t="s">
        <v>20</v>
      </c>
      <c r="C67" s="11"/>
      <c r="D67" s="11"/>
      <c r="E67" s="15"/>
    </row>
    <row r="68" spans="2:5" x14ac:dyDescent="0.15">
      <c r="B68" s="12" t="s">
        <v>21</v>
      </c>
      <c r="C68" s="11"/>
      <c r="D68" s="11"/>
      <c r="E68" s="15"/>
    </row>
    <row r="69" spans="2:5" x14ac:dyDescent="0.15">
      <c r="B69" s="12" t="s">
        <v>22</v>
      </c>
      <c r="C69" s="11"/>
      <c r="D69" s="11"/>
      <c r="E69" s="15"/>
    </row>
    <row r="70" spans="2:5" x14ac:dyDescent="0.15">
      <c r="B70" s="13" t="s">
        <v>8</v>
      </c>
      <c r="C70" s="14">
        <f>SUM(C58:C69)</f>
        <v>0</v>
      </c>
      <c r="D70" s="11">
        <f>SUM(D58:D69)</f>
        <v>0</v>
      </c>
      <c r="E70" s="15"/>
    </row>
  </sheetData>
  <mergeCells count="5">
    <mergeCell ref="B5:D5"/>
    <mergeCell ref="G5:K5"/>
    <mergeCell ref="B22:D22"/>
    <mergeCell ref="B39:D39"/>
    <mergeCell ref="B56:D5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K26"/>
  <sheetViews>
    <sheetView rightToLeft="1" workbookViewId="0">
      <selection activeCell="J10" sqref="J10:J11"/>
    </sheetView>
  </sheetViews>
  <sheetFormatPr baseColWidth="10" defaultColWidth="8.83203125" defaultRowHeight="14" x14ac:dyDescent="0.15"/>
  <cols>
    <col min="7" max="7" width="11.83203125" bestFit="1" customWidth="1"/>
  </cols>
  <sheetData>
    <row r="2" spans="2:11" ht="15" thickBot="1" x14ac:dyDescent="0.2"/>
    <row r="3" spans="2:11" ht="15" thickBot="1" x14ac:dyDescent="0.2">
      <c r="B3" s="32" t="s">
        <v>39</v>
      </c>
      <c r="C3" s="40" t="s">
        <v>40</v>
      </c>
      <c r="D3" s="40" t="s">
        <v>108</v>
      </c>
      <c r="E3" s="40" t="s">
        <v>97</v>
      </c>
      <c r="F3" s="40" t="s">
        <v>109</v>
      </c>
      <c r="G3" s="40" t="s">
        <v>52</v>
      </c>
      <c r="H3" s="33" t="s">
        <v>53</v>
      </c>
      <c r="I3" s="33" t="s">
        <v>75</v>
      </c>
      <c r="J3" s="40" t="s">
        <v>42</v>
      </c>
      <c r="K3" s="62" t="s">
        <v>80</v>
      </c>
    </row>
    <row r="4" spans="2:11" ht="15" thickBot="1" x14ac:dyDescent="0.2">
      <c r="B4" s="57">
        <v>1</v>
      </c>
      <c r="C4" s="64"/>
      <c r="D4" s="142" t="s">
        <v>98</v>
      </c>
      <c r="E4" s="142" t="s">
        <v>111</v>
      </c>
      <c r="F4" s="64"/>
      <c r="G4" s="65"/>
      <c r="H4" s="66"/>
      <c r="I4" s="58">
        <f>H4*G4</f>
        <v>0</v>
      </c>
      <c r="J4" s="41"/>
      <c r="K4" s="62" t="s">
        <v>110</v>
      </c>
    </row>
    <row r="5" spans="2:11" ht="15" thickBot="1" x14ac:dyDescent="0.2">
      <c r="B5" s="59">
        <v>2</v>
      </c>
      <c r="C5" s="60"/>
      <c r="D5" s="143" t="s">
        <v>100</v>
      </c>
      <c r="E5" s="143" t="s">
        <v>112</v>
      </c>
      <c r="F5" s="69"/>
      <c r="G5" s="68"/>
      <c r="H5" s="67"/>
      <c r="I5" s="70">
        <f>H5*G5</f>
        <v>0</v>
      </c>
      <c r="J5" s="63" t="s">
        <v>68</v>
      </c>
    </row>
    <row r="6" spans="2:11" ht="15" thickBot="1" x14ac:dyDescent="0.2">
      <c r="B6" s="105" t="s">
        <v>71</v>
      </c>
      <c r="C6" s="106"/>
      <c r="D6" s="34"/>
      <c r="E6" s="34"/>
      <c r="F6" s="34"/>
      <c r="G6" s="34"/>
      <c r="H6" s="34">
        <f>SUM(H4:H5)</f>
        <v>0</v>
      </c>
      <c r="I6" s="35">
        <f>SUM(I4:I5)</f>
        <v>0</v>
      </c>
      <c r="J6" s="35"/>
    </row>
    <row r="7" spans="2:11" ht="15" thickBot="1" x14ac:dyDescent="0.2">
      <c r="B7" s="107" t="s">
        <v>87</v>
      </c>
      <c r="C7" s="108"/>
      <c r="D7" s="35">
        <f>H6</f>
        <v>0</v>
      </c>
      <c r="E7" s="77"/>
      <c r="F7" s="77"/>
      <c r="G7" s="111"/>
      <c r="H7" s="109"/>
      <c r="I7" s="109"/>
      <c r="J7" s="109"/>
    </row>
    <row r="8" spans="2:11" ht="15" thickBot="1" x14ac:dyDescent="0.2">
      <c r="B8" s="107" t="s">
        <v>47</v>
      </c>
      <c r="C8" s="108"/>
      <c r="D8" s="35">
        <f>I6*J10</f>
        <v>0</v>
      </c>
      <c r="E8" s="77"/>
      <c r="F8" s="77"/>
      <c r="G8" s="111"/>
      <c r="H8" s="109"/>
      <c r="I8" s="109"/>
      <c r="J8" s="109"/>
    </row>
    <row r="9" spans="2:11" ht="15" thickBot="1" x14ac:dyDescent="0.2">
      <c r="B9" s="107" t="s">
        <v>48</v>
      </c>
      <c r="C9" s="108"/>
      <c r="D9" s="35">
        <f>D8*J11</f>
        <v>0</v>
      </c>
      <c r="E9" s="35"/>
      <c r="F9" s="35"/>
      <c r="G9" s="112"/>
      <c r="H9" s="110"/>
      <c r="I9" s="110"/>
      <c r="J9" s="110"/>
    </row>
    <row r="10" spans="2:11" ht="15" thickBot="1" x14ac:dyDescent="0.2">
      <c r="B10" s="107" t="s">
        <v>49</v>
      </c>
      <c r="C10" s="108"/>
      <c r="D10" s="35">
        <f>D9*H10</f>
        <v>0</v>
      </c>
      <c r="E10" s="35"/>
      <c r="F10" s="35"/>
      <c r="G10" s="71" t="s">
        <v>50</v>
      </c>
      <c r="H10" s="72"/>
      <c r="I10" s="36" t="s">
        <v>79</v>
      </c>
      <c r="J10" s="144">
        <v>24</v>
      </c>
    </row>
    <row r="11" spans="2:11" ht="15" thickBot="1" x14ac:dyDescent="0.2">
      <c r="B11" s="107"/>
      <c r="C11" s="108"/>
      <c r="D11" s="35"/>
      <c r="E11" s="35"/>
      <c r="F11" s="35"/>
      <c r="G11" s="37"/>
      <c r="H11" s="38"/>
      <c r="I11" s="36" t="s">
        <v>78</v>
      </c>
      <c r="J11" s="144">
        <v>360</v>
      </c>
    </row>
    <row r="12" spans="2:11" ht="15" thickBot="1" x14ac:dyDescent="0.2"/>
    <row r="13" spans="2:11" ht="15" thickBot="1" x14ac:dyDescent="0.2">
      <c r="B13" s="27" t="s">
        <v>58</v>
      </c>
      <c r="C13" s="28"/>
      <c r="D13" s="42">
        <v>0.45</v>
      </c>
    </row>
    <row r="14" spans="2:11" ht="15" thickBot="1" x14ac:dyDescent="0.2">
      <c r="B14" s="29" t="s">
        <v>59</v>
      </c>
      <c r="C14" s="30"/>
      <c r="D14" s="31"/>
    </row>
    <row r="18" spans="2:8" ht="15" thickBot="1" x14ac:dyDescent="0.2">
      <c r="B18" s="61" t="s">
        <v>73</v>
      </c>
    </row>
    <row r="19" spans="2:8" ht="15" thickBot="1" x14ac:dyDescent="0.2">
      <c r="B19" s="49" t="s">
        <v>108</v>
      </c>
      <c r="C19" s="50" t="s">
        <v>62</v>
      </c>
      <c r="D19" s="53" t="s">
        <v>42</v>
      </c>
      <c r="E19" s="55" t="s">
        <v>97</v>
      </c>
      <c r="F19" s="53" t="s">
        <v>109</v>
      </c>
      <c r="G19" s="94" t="s">
        <v>67</v>
      </c>
      <c r="H19" s="51" t="s">
        <v>72</v>
      </c>
    </row>
    <row r="20" spans="2:8" x14ac:dyDescent="0.15">
      <c r="B20" s="43" t="s">
        <v>98</v>
      </c>
      <c r="C20" s="48" t="s">
        <v>64</v>
      </c>
      <c r="D20" s="46" t="s">
        <v>68</v>
      </c>
      <c r="E20" s="45" t="s">
        <v>64</v>
      </c>
      <c r="F20" s="46" t="s">
        <v>64</v>
      </c>
      <c r="G20">
        <v>12</v>
      </c>
      <c r="H20" s="46">
        <v>250</v>
      </c>
    </row>
    <row r="21" spans="2:8" x14ac:dyDescent="0.15">
      <c r="B21" s="43" t="s">
        <v>100</v>
      </c>
      <c r="C21" s="48"/>
      <c r="D21" s="46" t="s">
        <v>69</v>
      </c>
      <c r="E21" s="45"/>
      <c r="F21" s="46"/>
      <c r="G21">
        <v>24</v>
      </c>
      <c r="H21" s="46">
        <v>364</v>
      </c>
    </row>
    <row r="22" spans="2:8" x14ac:dyDescent="0.15">
      <c r="B22" s="43" t="s">
        <v>64</v>
      </c>
      <c r="C22" s="48"/>
      <c r="D22" s="46"/>
      <c r="E22" s="45"/>
      <c r="F22" s="46"/>
      <c r="G22" t="s">
        <v>64</v>
      </c>
      <c r="H22" s="46" t="s">
        <v>64</v>
      </c>
    </row>
    <row r="23" spans="2:8" x14ac:dyDescent="0.15">
      <c r="B23" s="43"/>
      <c r="C23" s="48"/>
      <c r="D23" s="46"/>
      <c r="E23" s="45"/>
      <c r="F23" s="46"/>
      <c r="H23" s="46"/>
    </row>
    <row r="24" spans="2:8" x14ac:dyDescent="0.15">
      <c r="B24" s="43"/>
      <c r="C24" s="48"/>
      <c r="D24" s="46"/>
      <c r="F24" s="46"/>
      <c r="G24" t="s">
        <v>70</v>
      </c>
      <c r="H24" s="46" t="s">
        <v>70</v>
      </c>
    </row>
    <row r="25" spans="2:8" x14ac:dyDescent="0.15">
      <c r="B25" s="48"/>
      <c r="C25" s="48"/>
      <c r="D25" s="46"/>
      <c r="F25" s="46"/>
      <c r="G25">
        <v>24</v>
      </c>
      <c r="H25" s="46">
        <v>360</v>
      </c>
    </row>
    <row r="26" spans="2:8" ht="15" thickBot="1" x14ac:dyDescent="0.2">
      <c r="B26" s="92"/>
      <c r="C26" s="93"/>
      <c r="D26" s="47"/>
      <c r="E26" s="29"/>
      <c r="F26" s="47"/>
      <c r="G26" s="30"/>
      <c r="H26" s="47"/>
    </row>
  </sheetData>
  <mergeCells count="7">
    <mergeCell ref="B11:C11"/>
    <mergeCell ref="B6:C6"/>
    <mergeCell ref="B7:C7"/>
    <mergeCell ref="G7:J9"/>
    <mergeCell ref="B8:C8"/>
    <mergeCell ref="B9:C9"/>
    <mergeCell ref="B10:C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L29"/>
  <sheetViews>
    <sheetView rightToLeft="1" workbookViewId="0">
      <selection activeCell="A13" sqref="A13:XFD14"/>
    </sheetView>
  </sheetViews>
  <sheetFormatPr baseColWidth="10" defaultColWidth="8.83203125" defaultRowHeight="14" x14ac:dyDescent="0.15"/>
  <cols>
    <col min="1" max="1" width="14.5" bestFit="1" customWidth="1"/>
    <col min="2" max="2" width="11" customWidth="1"/>
    <col min="4" max="4" width="13.33203125" customWidth="1"/>
  </cols>
  <sheetData>
    <row r="2" spans="1:12" ht="15" thickBot="1" x14ac:dyDescent="0.2"/>
    <row r="3" spans="1:12" ht="15" thickBot="1" x14ac:dyDescent="0.2">
      <c r="B3" s="32" t="s">
        <v>39</v>
      </c>
      <c r="C3" s="40" t="s">
        <v>40</v>
      </c>
      <c r="D3" s="40" t="s">
        <v>81</v>
      </c>
      <c r="E3" s="40" t="s">
        <v>52</v>
      </c>
      <c r="F3" s="33" t="s">
        <v>53</v>
      </c>
      <c r="G3" s="33" t="s">
        <v>75</v>
      </c>
      <c r="H3" s="40" t="s">
        <v>42</v>
      </c>
      <c r="I3" s="62"/>
    </row>
    <row r="4" spans="1:12" ht="15" thickBot="1" x14ac:dyDescent="0.2">
      <c r="A4" t="s">
        <v>160</v>
      </c>
      <c r="B4" s="57">
        <v>1</v>
      </c>
      <c r="C4" s="64"/>
      <c r="D4" s="142" t="s">
        <v>88</v>
      </c>
      <c r="E4" s="65"/>
      <c r="F4" s="66"/>
      <c r="G4" s="58">
        <f>F4*E4</f>
        <v>0</v>
      </c>
      <c r="H4" s="41"/>
      <c r="I4" s="62"/>
    </row>
    <row r="5" spans="1:12" ht="15" thickBot="1" x14ac:dyDescent="0.2">
      <c r="B5" s="59">
        <v>2</v>
      </c>
      <c r="C5" s="60"/>
      <c r="D5" s="143" t="s">
        <v>84</v>
      </c>
      <c r="E5" s="68"/>
      <c r="F5" s="67"/>
      <c r="G5" s="70">
        <f>F5*E5</f>
        <v>0</v>
      </c>
      <c r="H5" s="63" t="s">
        <v>68</v>
      </c>
    </row>
    <row r="6" spans="1:12" ht="15" thickBot="1" x14ac:dyDescent="0.2">
      <c r="B6" s="105" t="s">
        <v>71</v>
      </c>
      <c r="C6" s="106"/>
      <c r="D6" s="34"/>
      <c r="E6" s="34"/>
      <c r="F6" s="34">
        <f>SUM(F4:F5)</f>
        <v>0</v>
      </c>
      <c r="G6" s="35">
        <f>SUM(G4:G5)</f>
        <v>0</v>
      </c>
      <c r="H6" s="35"/>
    </row>
    <row r="7" spans="1:12" ht="15" thickBot="1" x14ac:dyDescent="0.2">
      <c r="B7" s="107" t="s">
        <v>161</v>
      </c>
      <c r="C7" s="108"/>
      <c r="D7" s="35">
        <f>F6</f>
        <v>0</v>
      </c>
      <c r="E7" s="111"/>
      <c r="F7" s="109"/>
      <c r="G7" s="109"/>
      <c r="H7" s="109"/>
    </row>
    <row r="8" spans="1:12" ht="15" thickBot="1" x14ac:dyDescent="0.2">
      <c r="B8" s="107" t="s">
        <v>47</v>
      </c>
      <c r="C8" s="108"/>
      <c r="D8" s="35">
        <f>G6*H10</f>
        <v>0</v>
      </c>
      <c r="E8" s="111"/>
      <c r="F8" s="109"/>
      <c r="G8" s="109"/>
      <c r="H8" s="109"/>
    </row>
    <row r="9" spans="1:12" ht="15" thickBot="1" x14ac:dyDescent="0.2">
      <c r="B9" s="107" t="s">
        <v>48</v>
      </c>
      <c r="C9" s="108"/>
      <c r="D9" s="35">
        <f>D8*H11</f>
        <v>0</v>
      </c>
      <c r="E9" s="112"/>
      <c r="F9" s="110"/>
      <c r="G9" s="110"/>
      <c r="H9" s="110"/>
    </row>
    <row r="10" spans="1:12" ht="15" thickBot="1" x14ac:dyDescent="0.2">
      <c r="B10" s="107" t="s">
        <v>49</v>
      </c>
      <c r="C10" s="108"/>
      <c r="D10" s="35">
        <f>D9*F10</f>
        <v>0</v>
      </c>
      <c r="E10" s="71" t="s">
        <v>50</v>
      </c>
      <c r="F10" s="72"/>
      <c r="G10" s="36" t="s">
        <v>79</v>
      </c>
      <c r="H10" s="144">
        <v>24</v>
      </c>
    </row>
    <row r="11" spans="1:12" ht="15" thickBot="1" x14ac:dyDescent="0.2">
      <c r="B11" s="107"/>
      <c r="C11" s="108"/>
      <c r="D11" s="35"/>
      <c r="E11" s="37"/>
      <c r="F11" s="38"/>
      <c r="G11" s="36" t="s">
        <v>78</v>
      </c>
      <c r="H11" s="144">
        <v>360</v>
      </c>
    </row>
    <row r="15" spans="1:12" x14ac:dyDescent="0.15">
      <c r="L15" s="25"/>
    </row>
    <row r="16" spans="1:12" ht="15" thickBot="1" x14ac:dyDescent="0.2">
      <c r="B16" s="61" t="s">
        <v>73</v>
      </c>
    </row>
    <row r="17" spans="2:6" ht="15" thickBot="1" x14ac:dyDescent="0.2">
      <c r="B17" s="49" t="s">
        <v>81</v>
      </c>
      <c r="C17" s="50" t="s">
        <v>62</v>
      </c>
      <c r="D17" s="53" t="s">
        <v>42</v>
      </c>
      <c r="E17" s="55" t="s">
        <v>67</v>
      </c>
      <c r="F17" s="42" t="s">
        <v>72</v>
      </c>
    </row>
    <row r="18" spans="2:6" x14ac:dyDescent="0.15">
      <c r="B18" s="43" t="s">
        <v>88</v>
      </c>
      <c r="C18" s="48" t="s">
        <v>64</v>
      </c>
      <c r="D18" s="46" t="s">
        <v>68</v>
      </c>
      <c r="E18" s="45">
        <v>12</v>
      </c>
      <c r="F18" s="46">
        <v>250</v>
      </c>
    </row>
    <row r="19" spans="2:6" x14ac:dyDescent="0.15">
      <c r="B19" s="43" t="s">
        <v>83</v>
      </c>
      <c r="C19" s="48"/>
      <c r="D19" s="46" t="s">
        <v>69</v>
      </c>
      <c r="E19" s="45">
        <v>24</v>
      </c>
      <c r="F19" s="46">
        <v>364</v>
      </c>
    </row>
    <row r="20" spans="2:6" x14ac:dyDescent="0.15">
      <c r="B20" s="43" t="s">
        <v>84</v>
      </c>
      <c r="C20" s="48"/>
      <c r="D20" s="46"/>
      <c r="E20" s="45" t="s">
        <v>64</v>
      </c>
      <c r="F20" s="46" t="s">
        <v>64</v>
      </c>
    </row>
    <row r="21" spans="2:6" x14ac:dyDescent="0.15">
      <c r="B21" s="43" t="s">
        <v>85</v>
      </c>
      <c r="C21" s="48"/>
      <c r="D21" s="46"/>
      <c r="E21" s="45"/>
      <c r="F21" s="46"/>
    </row>
    <row r="22" spans="2:6" x14ac:dyDescent="0.15">
      <c r="B22" s="43" t="s">
        <v>64</v>
      </c>
      <c r="C22" s="48"/>
      <c r="D22" s="46"/>
      <c r="E22" t="s">
        <v>70</v>
      </c>
      <c r="F22" s="46" t="s">
        <v>70</v>
      </c>
    </row>
    <row r="23" spans="2:6" x14ac:dyDescent="0.15">
      <c r="B23" s="48"/>
      <c r="C23" s="48"/>
      <c r="D23" s="46"/>
      <c r="E23">
        <v>24</v>
      </c>
      <c r="F23" s="46">
        <v>360</v>
      </c>
    </row>
    <row r="24" spans="2:6" x14ac:dyDescent="0.15">
      <c r="B24" s="43"/>
      <c r="C24" s="48"/>
      <c r="D24" s="46"/>
      <c r="E24" s="45"/>
      <c r="F24" s="46"/>
    </row>
    <row r="25" spans="2:6" x14ac:dyDescent="0.15">
      <c r="B25" s="45"/>
      <c r="C25" s="48"/>
      <c r="D25" s="46"/>
      <c r="E25" s="45"/>
      <c r="F25" s="46"/>
    </row>
    <row r="26" spans="2:6" x14ac:dyDescent="0.15">
      <c r="B26" s="45"/>
      <c r="C26" s="48"/>
      <c r="D26" s="46"/>
      <c r="E26" s="45"/>
      <c r="F26" s="46"/>
    </row>
    <row r="27" spans="2:6" x14ac:dyDescent="0.15">
      <c r="B27" s="45"/>
      <c r="C27" s="48"/>
      <c r="D27" s="46"/>
      <c r="E27" s="45"/>
      <c r="F27" s="46"/>
    </row>
    <row r="28" spans="2:6" x14ac:dyDescent="0.15">
      <c r="B28" s="45"/>
      <c r="C28" s="48"/>
      <c r="D28" s="46"/>
      <c r="E28" s="45"/>
      <c r="F28" s="46"/>
    </row>
    <row r="29" spans="2:6" ht="15" thickBot="1" x14ac:dyDescent="0.2">
      <c r="B29" s="29"/>
      <c r="C29" s="47"/>
      <c r="D29" s="47"/>
      <c r="E29" s="29"/>
      <c r="F29" s="47"/>
    </row>
  </sheetData>
  <mergeCells count="7">
    <mergeCell ref="B10:C10"/>
    <mergeCell ref="B11:C11"/>
    <mergeCell ref="B6:C6"/>
    <mergeCell ref="E7:H9"/>
    <mergeCell ref="B7:C7"/>
    <mergeCell ref="B8:C8"/>
    <mergeCell ref="B9:C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M29"/>
  <sheetViews>
    <sheetView rightToLeft="1" workbookViewId="0">
      <selection activeCell="I10" sqref="I10:I11"/>
    </sheetView>
  </sheetViews>
  <sheetFormatPr baseColWidth="10" defaultColWidth="8.83203125" defaultRowHeight="14" x14ac:dyDescent="0.15"/>
  <cols>
    <col min="7" max="7" width="14" customWidth="1"/>
  </cols>
  <sheetData>
    <row r="2" spans="1:13" ht="15" thickBot="1" x14ac:dyDescent="0.2"/>
    <row r="3" spans="1:13" ht="15" thickBot="1" x14ac:dyDescent="0.2">
      <c r="B3" s="32" t="s">
        <v>39</v>
      </c>
      <c r="C3" s="40" t="s">
        <v>40</v>
      </c>
      <c r="D3" s="40" t="s">
        <v>94</v>
      </c>
      <c r="E3" s="40" t="s">
        <v>52</v>
      </c>
      <c r="F3" s="33" t="s">
        <v>53</v>
      </c>
      <c r="G3" s="33" t="s">
        <v>75</v>
      </c>
      <c r="H3" s="73" t="s">
        <v>42</v>
      </c>
      <c r="I3" s="73" t="s">
        <v>89</v>
      </c>
      <c r="J3" s="62"/>
    </row>
    <row r="4" spans="1:13" ht="15" thickBot="1" x14ac:dyDescent="0.2">
      <c r="A4" t="s">
        <v>162</v>
      </c>
      <c r="B4" s="57">
        <v>1</v>
      </c>
      <c r="C4" s="64"/>
      <c r="D4" s="142" t="s">
        <v>96</v>
      </c>
      <c r="E4" s="65"/>
      <c r="F4" s="66"/>
      <c r="G4" s="58">
        <f>F4*E4</f>
        <v>0</v>
      </c>
      <c r="H4" s="70"/>
      <c r="I4" s="76">
        <f>G4*I10*I11</f>
        <v>0</v>
      </c>
      <c r="J4" s="62"/>
    </row>
    <row r="5" spans="1:13" ht="15" thickBot="1" x14ac:dyDescent="0.2">
      <c r="B5" s="59">
        <v>2</v>
      </c>
      <c r="C5" s="60"/>
      <c r="D5" s="143" t="s">
        <v>95</v>
      </c>
      <c r="E5" s="68"/>
      <c r="F5" s="67"/>
      <c r="G5" s="70">
        <f>F5*E5</f>
        <v>0</v>
      </c>
      <c r="H5" s="70"/>
      <c r="I5" s="75">
        <f>G5*I10*I11</f>
        <v>0</v>
      </c>
    </row>
    <row r="6" spans="1:13" ht="15" thickBot="1" x14ac:dyDescent="0.2">
      <c r="B6" s="105" t="s">
        <v>71</v>
      </c>
      <c r="C6" s="106"/>
      <c r="D6" s="34"/>
      <c r="E6" s="34"/>
      <c r="F6" s="34">
        <f>SUM(F4:F5)</f>
        <v>0</v>
      </c>
      <c r="G6" s="35">
        <f>SUM(G4:G5)</f>
        <v>0</v>
      </c>
      <c r="H6" s="74"/>
      <c r="I6" s="54"/>
      <c r="J6" s="62" t="s">
        <v>90</v>
      </c>
    </row>
    <row r="7" spans="1:13" ht="15" thickBot="1" x14ac:dyDescent="0.2">
      <c r="B7" s="107" t="s">
        <v>87</v>
      </c>
      <c r="C7" s="108"/>
      <c r="D7" s="35">
        <f>F6</f>
        <v>0</v>
      </c>
      <c r="E7" s="111"/>
      <c r="F7" s="109"/>
      <c r="G7" s="109"/>
      <c r="H7" s="109"/>
      <c r="I7" s="109"/>
      <c r="J7" s="62" t="s">
        <v>91</v>
      </c>
    </row>
    <row r="8" spans="1:13" ht="15" thickBot="1" x14ac:dyDescent="0.2">
      <c r="B8" s="107" t="s">
        <v>47</v>
      </c>
      <c r="C8" s="108"/>
      <c r="D8" s="35">
        <f>G6*I10</f>
        <v>0</v>
      </c>
      <c r="E8" s="111"/>
      <c r="F8" s="109"/>
      <c r="G8" s="109"/>
      <c r="H8" s="109"/>
      <c r="I8" s="109"/>
    </row>
    <row r="9" spans="1:13" ht="15" thickBot="1" x14ac:dyDescent="0.2">
      <c r="B9" s="107" t="s">
        <v>48</v>
      </c>
      <c r="C9" s="108"/>
      <c r="D9" s="35">
        <f>D8*I11</f>
        <v>0</v>
      </c>
      <c r="E9" s="112"/>
      <c r="F9" s="110"/>
      <c r="G9" s="110"/>
      <c r="H9" s="110"/>
      <c r="I9" s="110"/>
    </row>
    <row r="10" spans="1:13" ht="15" thickBot="1" x14ac:dyDescent="0.2">
      <c r="B10" s="107" t="s">
        <v>49</v>
      </c>
      <c r="C10" s="108"/>
      <c r="D10" s="35">
        <f>D9*F10</f>
        <v>0</v>
      </c>
      <c r="E10" s="71" t="s">
        <v>50</v>
      </c>
      <c r="F10" s="72"/>
      <c r="G10" s="36" t="s">
        <v>79</v>
      </c>
      <c r="H10" s="39"/>
      <c r="I10" s="144">
        <v>24</v>
      </c>
    </row>
    <row r="11" spans="1:13" ht="15" thickBot="1" x14ac:dyDescent="0.2">
      <c r="B11" s="107"/>
      <c r="C11" s="108"/>
      <c r="D11" s="35"/>
      <c r="E11" s="37"/>
      <c r="F11" s="38"/>
      <c r="G11" s="36" t="s">
        <v>78</v>
      </c>
      <c r="H11" s="39"/>
      <c r="I11" s="144">
        <v>360</v>
      </c>
    </row>
    <row r="15" spans="1:13" x14ac:dyDescent="0.15">
      <c r="M15" s="25"/>
    </row>
    <row r="16" spans="1:13" ht="15" thickBot="1" x14ac:dyDescent="0.2">
      <c r="B16" s="61" t="s">
        <v>73</v>
      </c>
    </row>
    <row r="17" spans="2:6" ht="15" thickBot="1" x14ac:dyDescent="0.2">
      <c r="B17" s="49" t="s">
        <v>81</v>
      </c>
      <c r="C17" s="50" t="s">
        <v>92</v>
      </c>
      <c r="D17" s="53" t="s">
        <v>42</v>
      </c>
      <c r="E17" s="55" t="s">
        <v>67</v>
      </c>
      <c r="F17" s="42" t="s">
        <v>72</v>
      </c>
    </row>
    <row r="18" spans="2:6" x14ac:dyDescent="0.15">
      <c r="B18" s="43" t="s">
        <v>82</v>
      </c>
      <c r="C18" s="48" t="s">
        <v>64</v>
      </c>
      <c r="D18" s="46" t="s">
        <v>68</v>
      </c>
      <c r="E18" s="45">
        <v>12</v>
      </c>
      <c r="F18" s="46">
        <v>250</v>
      </c>
    </row>
    <row r="19" spans="2:6" x14ac:dyDescent="0.15">
      <c r="B19" s="43" t="s">
        <v>64</v>
      </c>
      <c r="C19" s="48"/>
      <c r="D19" s="46" t="s">
        <v>69</v>
      </c>
      <c r="E19" s="45">
        <v>24</v>
      </c>
      <c r="F19" s="46">
        <v>364</v>
      </c>
    </row>
    <row r="20" spans="2:6" x14ac:dyDescent="0.15">
      <c r="B20" s="43"/>
      <c r="C20" s="48"/>
      <c r="D20" s="46"/>
      <c r="E20" s="45" t="s">
        <v>64</v>
      </c>
      <c r="F20" s="46" t="s">
        <v>64</v>
      </c>
    </row>
    <row r="21" spans="2:6" ht="15" thickBot="1" x14ac:dyDescent="0.2">
      <c r="B21" s="29"/>
      <c r="C21" s="47"/>
      <c r="D21" s="47"/>
      <c r="E21" s="45"/>
      <c r="F21" s="46"/>
    </row>
    <row r="22" spans="2:6" x14ac:dyDescent="0.15">
      <c r="E22" t="s">
        <v>70</v>
      </c>
      <c r="F22" s="46" t="s">
        <v>70</v>
      </c>
    </row>
    <row r="23" spans="2:6" x14ac:dyDescent="0.15">
      <c r="E23">
        <v>24</v>
      </c>
      <c r="F23" s="46">
        <v>360</v>
      </c>
    </row>
    <row r="24" spans="2:6" x14ac:dyDescent="0.15">
      <c r="E24" s="45"/>
      <c r="F24" s="46"/>
    </row>
    <row r="25" spans="2:6" x14ac:dyDescent="0.15">
      <c r="E25" s="45"/>
      <c r="F25" s="46"/>
    </row>
    <row r="26" spans="2:6" x14ac:dyDescent="0.15">
      <c r="E26" s="45"/>
      <c r="F26" s="46"/>
    </row>
    <row r="27" spans="2:6" x14ac:dyDescent="0.15">
      <c r="E27" s="45"/>
      <c r="F27" s="46"/>
    </row>
    <row r="28" spans="2:6" x14ac:dyDescent="0.15">
      <c r="E28" s="45"/>
      <c r="F28" s="46"/>
    </row>
    <row r="29" spans="2:6" ht="15" thickBot="1" x14ac:dyDescent="0.2">
      <c r="E29" s="29"/>
      <c r="F29" s="47"/>
    </row>
  </sheetData>
  <mergeCells count="7">
    <mergeCell ref="B11:C11"/>
    <mergeCell ref="B6:C6"/>
    <mergeCell ref="B7:C7"/>
    <mergeCell ref="E7:I9"/>
    <mergeCell ref="B8:C8"/>
    <mergeCell ref="B9:C9"/>
    <mergeCell ref="B10:C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M27"/>
  <sheetViews>
    <sheetView rightToLeft="1" topLeftCell="E1" workbookViewId="0">
      <selection activeCell="M41" sqref="M41"/>
    </sheetView>
  </sheetViews>
  <sheetFormatPr baseColWidth="10" defaultColWidth="8.83203125" defaultRowHeight="14" x14ac:dyDescent="0.15"/>
  <cols>
    <col min="2" max="2" width="13.1640625" bestFit="1" customWidth="1"/>
    <col min="3" max="3" width="12.6640625" bestFit="1" customWidth="1"/>
    <col min="4" max="4" width="12.33203125" customWidth="1"/>
    <col min="5" max="5" width="11.33203125" bestFit="1" customWidth="1"/>
    <col min="6" max="7" width="10.1640625" customWidth="1"/>
    <col min="8" max="8" width="11.83203125" bestFit="1" customWidth="1"/>
    <col min="10" max="10" width="11.83203125" bestFit="1" customWidth="1"/>
  </cols>
  <sheetData>
    <row r="2" spans="2:13" ht="15" thickBot="1" x14ac:dyDescent="0.2"/>
    <row r="3" spans="2:13" ht="15" thickBot="1" x14ac:dyDescent="0.2">
      <c r="B3" s="32" t="s">
        <v>39</v>
      </c>
      <c r="C3" s="40" t="s">
        <v>40</v>
      </c>
      <c r="D3" s="40" t="s">
        <v>93</v>
      </c>
      <c r="E3" s="40" t="s">
        <v>97</v>
      </c>
      <c r="F3" s="40" t="s">
        <v>104</v>
      </c>
      <c r="G3" s="40" t="s">
        <v>105</v>
      </c>
      <c r="H3" s="40" t="s">
        <v>52</v>
      </c>
      <c r="I3" s="33" t="s">
        <v>53</v>
      </c>
      <c r="J3" s="33" t="s">
        <v>75</v>
      </c>
      <c r="K3" s="73" t="s">
        <v>42</v>
      </c>
      <c r="L3" s="73" t="s">
        <v>89</v>
      </c>
      <c r="M3" s="62" t="s">
        <v>163</v>
      </c>
    </row>
    <row r="4" spans="2:13" ht="15" thickBot="1" x14ac:dyDescent="0.2">
      <c r="B4" s="57">
        <v>1</v>
      </c>
      <c r="C4" s="64"/>
      <c r="D4" s="142" t="s">
        <v>98</v>
      </c>
      <c r="E4" s="142" t="s">
        <v>101</v>
      </c>
      <c r="F4" s="64"/>
      <c r="G4" s="142">
        <v>100</v>
      </c>
      <c r="H4" s="145">
        <v>155</v>
      </c>
      <c r="I4" s="66"/>
      <c r="J4" s="58">
        <f>I4*H4</f>
        <v>0</v>
      </c>
      <c r="K4" s="70"/>
      <c r="L4" s="81" t="s">
        <v>68</v>
      </c>
      <c r="M4" s="62"/>
    </row>
    <row r="5" spans="2:13" ht="15" thickBot="1" x14ac:dyDescent="0.2">
      <c r="B5" s="59">
        <v>2</v>
      </c>
      <c r="C5" s="60"/>
      <c r="D5" s="143" t="s">
        <v>99</v>
      </c>
      <c r="E5" s="143" t="s">
        <v>103</v>
      </c>
      <c r="F5" s="69"/>
      <c r="G5" s="143">
        <v>250</v>
      </c>
      <c r="H5" s="146">
        <v>313</v>
      </c>
      <c r="I5" s="67"/>
      <c r="J5" s="70">
        <f>I5*H5</f>
        <v>0</v>
      </c>
      <c r="K5" s="70"/>
      <c r="L5" s="75" t="s">
        <v>68</v>
      </c>
    </row>
    <row r="6" spans="2:13" ht="15" thickBot="1" x14ac:dyDescent="0.2">
      <c r="B6" s="105" t="s">
        <v>71</v>
      </c>
      <c r="C6" s="106"/>
      <c r="D6" s="34"/>
      <c r="E6" s="34"/>
      <c r="F6" s="34"/>
      <c r="G6" s="34"/>
      <c r="H6" s="34"/>
      <c r="I6" s="34">
        <f>SUM(I4:I5)</f>
        <v>0</v>
      </c>
      <c r="J6" s="35">
        <f>SUM(J4:J5)</f>
        <v>0</v>
      </c>
      <c r="K6" s="74"/>
      <c r="L6" s="54"/>
      <c r="M6" s="62" t="s">
        <v>90</v>
      </c>
    </row>
    <row r="7" spans="2:13" ht="15" thickBot="1" x14ac:dyDescent="0.2">
      <c r="B7" s="107" t="s">
        <v>87</v>
      </c>
      <c r="C7" s="108"/>
      <c r="D7" s="35">
        <f>I6</f>
        <v>0</v>
      </c>
      <c r="E7" s="77"/>
      <c r="F7" s="77"/>
      <c r="G7" s="77"/>
      <c r="H7" s="111"/>
      <c r="I7" s="109"/>
      <c r="J7" s="109"/>
      <c r="K7" s="109"/>
      <c r="L7" s="109"/>
      <c r="M7" s="62" t="s">
        <v>164</v>
      </c>
    </row>
    <row r="8" spans="2:13" ht="15" thickBot="1" x14ac:dyDescent="0.2">
      <c r="B8" s="107" t="s">
        <v>47</v>
      </c>
      <c r="C8" s="108"/>
      <c r="D8" s="35">
        <f>J6*L10</f>
        <v>0</v>
      </c>
      <c r="E8" s="77"/>
      <c r="F8" s="77"/>
      <c r="G8" s="77"/>
      <c r="H8" s="111"/>
      <c r="I8" s="109"/>
      <c r="J8" s="109"/>
      <c r="K8" s="109"/>
      <c r="L8" s="109"/>
    </row>
    <row r="9" spans="2:13" ht="15" thickBot="1" x14ac:dyDescent="0.2">
      <c r="B9" s="107" t="s">
        <v>48</v>
      </c>
      <c r="C9" s="108"/>
      <c r="D9" s="35">
        <f>D8*L11</f>
        <v>0</v>
      </c>
      <c r="E9" s="35"/>
      <c r="F9" s="35"/>
      <c r="G9" s="35"/>
      <c r="H9" s="112"/>
      <c r="I9" s="110"/>
      <c r="J9" s="110"/>
      <c r="K9" s="110"/>
      <c r="L9" s="110"/>
    </row>
    <row r="10" spans="2:13" ht="15" thickBot="1" x14ac:dyDescent="0.2">
      <c r="B10" s="107" t="s">
        <v>49</v>
      </c>
      <c r="C10" s="108"/>
      <c r="D10" s="35">
        <f>D9*I10</f>
        <v>0</v>
      </c>
      <c r="E10" s="35"/>
      <c r="F10" s="35"/>
      <c r="G10" s="35"/>
      <c r="H10" s="71" t="s">
        <v>50</v>
      </c>
      <c r="I10" s="72"/>
      <c r="J10" s="36" t="s">
        <v>79</v>
      </c>
      <c r="K10" s="39"/>
      <c r="L10" s="144">
        <v>12</v>
      </c>
    </row>
    <row r="11" spans="2:13" ht="15" thickBot="1" x14ac:dyDescent="0.2">
      <c r="B11" s="107"/>
      <c r="C11" s="108"/>
      <c r="D11" s="35"/>
      <c r="E11" s="35"/>
      <c r="F11" s="35"/>
      <c r="G11" s="35"/>
      <c r="H11" s="37"/>
      <c r="I11" s="38"/>
      <c r="J11" s="36" t="s">
        <v>78</v>
      </c>
      <c r="K11" s="39"/>
      <c r="L11" s="144">
        <v>250</v>
      </c>
    </row>
    <row r="12" spans="2:13" ht="15" thickBot="1" x14ac:dyDescent="0.2"/>
    <row r="13" spans="2:13" ht="15" thickBot="1" x14ac:dyDescent="0.2">
      <c r="B13" s="27" t="s">
        <v>58</v>
      </c>
      <c r="C13" s="28"/>
      <c r="D13" s="42">
        <v>0.45</v>
      </c>
    </row>
    <row r="14" spans="2:13" ht="15" thickBot="1" x14ac:dyDescent="0.2">
      <c r="B14" s="29" t="s">
        <v>59</v>
      </c>
      <c r="C14" s="30"/>
      <c r="D14" s="31"/>
    </row>
    <row r="17" spans="2:11" x14ac:dyDescent="0.15">
      <c r="G17" s="80" t="s">
        <v>106</v>
      </c>
    </row>
    <row r="18" spans="2:11" ht="15" thickBot="1" x14ac:dyDescent="0.2">
      <c r="B18" s="61" t="s">
        <v>73</v>
      </c>
    </row>
    <row r="19" spans="2:11" ht="46" thickBot="1" x14ac:dyDescent="0.2">
      <c r="B19" s="90" t="s">
        <v>40</v>
      </c>
      <c r="C19" s="84" t="s">
        <v>93</v>
      </c>
      <c r="D19" s="85" t="s">
        <v>97</v>
      </c>
      <c r="E19" s="82" t="s">
        <v>104</v>
      </c>
      <c r="F19" s="83" t="s">
        <v>105</v>
      </c>
      <c r="G19" s="88" t="s">
        <v>107</v>
      </c>
      <c r="H19" s="85" t="s">
        <v>53</v>
      </c>
      <c r="I19" s="91" t="s">
        <v>42</v>
      </c>
      <c r="J19" s="53" t="s">
        <v>67</v>
      </c>
      <c r="K19" s="42" t="s">
        <v>72</v>
      </c>
    </row>
    <row r="20" spans="2:11" ht="15" thickBot="1" x14ac:dyDescent="0.2">
      <c r="B20" s="56" t="s">
        <v>64</v>
      </c>
      <c r="C20" s="43" t="s">
        <v>100</v>
      </c>
      <c r="D20" s="48" t="s">
        <v>101</v>
      </c>
      <c r="E20" s="56" t="s">
        <v>64</v>
      </c>
      <c r="F20" s="78">
        <v>100</v>
      </c>
      <c r="G20" s="89">
        <v>125</v>
      </c>
      <c r="H20" s="46" t="s">
        <v>64</v>
      </c>
      <c r="I20" s="45" t="s">
        <v>68</v>
      </c>
      <c r="J20" s="46">
        <v>12</v>
      </c>
      <c r="K20" s="46">
        <v>250</v>
      </c>
    </row>
    <row r="21" spans="2:11" ht="15" thickBot="1" x14ac:dyDescent="0.2">
      <c r="B21" s="46"/>
      <c r="C21" s="43" t="s">
        <v>98</v>
      </c>
      <c r="D21" s="48" t="s">
        <v>102</v>
      </c>
      <c r="E21" s="48"/>
      <c r="F21" s="78">
        <v>150</v>
      </c>
      <c r="G21" s="89">
        <v>188</v>
      </c>
      <c r="H21" s="46"/>
      <c r="I21" s="45" t="s">
        <v>69</v>
      </c>
      <c r="J21" s="46">
        <v>24</v>
      </c>
      <c r="K21" s="46">
        <v>364</v>
      </c>
    </row>
    <row r="22" spans="2:11" ht="15" thickBot="1" x14ac:dyDescent="0.2">
      <c r="B22" s="46"/>
      <c r="C22" s="43" t="s">
        <v>99</v>
      </c>
      <c r="D22" s="48" t="s">
        <v>103</v>
      </c>
      <c r="E22" s="48"/>
      <c r="F22" s="78">
        <v>200</v>
      </c>
      <c r="G22" s="89">
        <v>250</v>
      </c>
      <c r="H22" s="46"/>
      <c r="I22" s="45"/>
      <c r="J22" s="46" t="s">
        <v>64</v>
      </c>
      <c r="K22" s="46" t="s">
        <v>64</v>
      </c>
    </row>
    <row r="23" spans="2:11" ht="15" thickBot="1" x14ac:dyDescent="0.2">
      <c r="B23" s="47"/>
      <c r="C23" s="29"/>
      <c r="D23" s="47" t="s">
        <v>64</v>
      </c>
      <c r="E23" s="47"/>
      <c r="F23" s="78">
        <v>250</v>
      </c>
      <c r="G23" s="89">
        <v>313</v>
      </c>
      <c r="H23" s="47"/>
      <c r="I23" s="29"/>
      <c r="J23" s="46"/>
      <c r="K23" s="46"/>
    </row>
    <row r="24" spans="2:11" ht="15" thickBot="1" x14ac:dyDescent="0.2">
      <c r="F24" s="78">
        <v>300</v>
      </c>
      <c r="G24" s="78">
        <v>375</v>
      </c>
      <c r="J24" s="46" t="s">
        <v>70</v>
      </c>
      <c r="K24" s="46" t="s">
        <v>70</v>
      </c>
    </row>
    <row r="25" spans="2:11" ht="15" thickBot="1" x14ac:dyDescent="0.2">
      <c r="F25" s="86">
        <v>350</v>
      </c>
      <c r="G25" s="86">
        <v>438</v>
      </c>
      <c r="J25" s="46">
        <v>12</v>
      </c>
      <c r="K25" s="46">
        <v>250</v>
      </c>
    </row>
    <row r="26" spans="2:11" ht="15" thickBot="1" x14ac:dyDescent="0.2">
      <c r="F26" s="42" t="s">
        <v>64</v>
      </c>
      <c r="G26" s="87" t="s">
        <v>64</v>
      </c>
      <c r="J26" s="46"/>
      <c r="K26" s="46"/>
    </row>
    <row r="27" spans="2:11" ht="15" thickBot="1" x14ac:dyDescent="0.2">
      <c r="J27" s="47"/>
      <c r="K27" s="47"/>
    </row>
  </sheetData>
  <mergeCells count="7">
    <mergeCell ref="B11:C11"/>
    <mergeCell ref="B6:C6"/>
    <mergeCell ref="B7:C7"/>
    <mergeCell ref="H7:L9"/>
    <mergeCell ref="B8:C8"/>
    <mergeCell ref="B9:C9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8</vt:i4>
      </vt:variant>
    </vt:vector>
  </HeadingPairs>
  <TitlesOfParts>
    <vt:vector size="8" baseType="lpstr">
      <vt:lpstr>רישום לחללים שונים</vt:lpstr>
      <vt:lpstr>חשמל</vt:lpstr>
      <vt:lpstr>גז</vt:lpstr>
      <vt:lpstr>דלקים</vt:lpstr>
      <vt:lpstr>מדחסי אוויר</vt:lpstr>
      <vt:lpstr>מנועים</vt:lpstr>
      <vt:lpstr>משאבות</vt:lpstr>
      <vt:lpstr>צ'ילרים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דניאל קליינהנדלר</dc:creator>
  <cp:lastModifiedBy>Dudu Klinhendler</cp:lastModifiedBy>
  <dcterms:created xsi:type="dcterms:W3CDTF">2026-03-24T18:18:41Z</dcterms:created>
  <dcterms:modified xsi:type="dcterms:W3CDTF">2026-04-02T18:45:14Z</dcterms:modified>
</cp:coreProperties>
</file>